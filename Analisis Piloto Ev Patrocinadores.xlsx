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rfocl-my.sharepoint.com/personal/luis_rodriguez_corfo_cl/Documents/Desarrollos/Resultados Evaluacion Patrocinadores/"/>
    </mc:Choice>
  </mc:AlternateContent>
  <xr:revisionPtr revIDLastSave="545" documentId="8_{FE75BED1-7994-4BBF-B9EF-C6CD12ABEC15}" xr6:coauthVersionLast="47" xr6:coauthVersionMax="47" xr10:uidLastSave="{2998586A-0412-4605-A769-44B9453931A3}"/>
  <bookViews>
    <workbookView xWindow="-120" yWindow="-120" windowWidth="29040" windowHeight="15720" activeTab="3" xr2:uid="{60C00BB1-8A9B-43C0-8FF4-E5128A3D2219}"/>
  </bookViews>
  <sheets>
    <sheet name="Formalizacion" sheetId="3" r:id="rId1"/>
    <sheet name="Seguimiento" sheetId="2" r:id="rId2"/>
    <sheet name="Conteo respuestas" sheetId="7" r:id="rId3"/>
    <sheet name="CorreoRegion" sheetId="5" r:id="rId4"/>
    <sheet name="Hoja2" sheetId="6" r:id="rId5"/>
  </sheets>
  <definedNames>
    <definedName name="DatosExternos_1" localSheetId="1" hidden="1">Seguimiento!$A$1:$J$60</definedName>
    <definedName name="DatosExternos_2" localSheetId="3" hidden="1">'CorreoRegion'!$A$1:$B$93</definedName>
    <definedName name="DatosExternos_2" localSheetId="0" hidden="1">Formalizacion!$A$1:$I$29</definedName>
    <definedName name="SegmentaciónDeDatos_Entidad_Patrocinadora">#N/A</definedName>
    <definedName name="SegmentaciónDeDatos_Entidad_patrocinadora1">#N/A</definedName>
    <definedName name="SegmentaciónDeDatos_Origen_convocatoria">#N/A</definedName>
    <definedName name="SegmentaciónDeDatos_Region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1" i="2" l="1"/>
  <c r="D61" i="2"/>
  <c r="E61" i="2"/>
  <c r="F61" i="2"/>
  <c r="G61" i="2"/>
  <c r="H61" i="2"/>
  <c r="C30" i="3"/>
  <c r="D30" i="3"/>
  <c r="E30" i="3"/>
  <c r="F30" i="3"/>
  <c r="G30" i="3"/>
  <c r="H3" i="6" l="1"/>
  <c r="H4" i="6"/>
  <c r="H5" i="6"/>
  <c r="H6" i="6"/>
  <c r="H7" i="6"/>
  <c r="H15" i="6"/>
  <c r="H16" i="6"/>
  <c r="H17" i="6"/>
  <c r="H18" i="6"/>
  <c r="H19" i="6"/>
  <c r="H20" i="6"/>
  <c r="H23" i="6" l="1"/>
  <c r="H10" i="6"/>
  <c r="J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F5429-FCF4-42FA-880B-6CC9BF093954}" keepAlive="1" name="Consulta - CorreoRegion" description="Conexión a la consulta 'CorreoRegion' en el libro." type="5" refreshedVersion="8" background="1" saveData="1">
    <dbPr connection="Provider=Microsoft.Mashup.OleDb.1;Data Source=$Workbook$;Location=CorreoRegion;Extended Properties=&quot;&quot;" command="SELECT * FROM [CorreoRegion]"/>
  </connection>
  <connection id="2" xr16:uid="{A020CF59-2B70-48E0-84B5-209C468533D1}" keepAlive="1" name="Consulta - Formalizacion" description="Conexión a la consulta 'Formalizacion' en el libro." type="5" refreshedVersion="8" background="1" saveData="1">
    <dbPr connection="Provider=Microsoft.Mashup.OleDb.1;Data Source=$Workbook$;Location=Formalizacion;Extended Properties=&quot;&quot;" command="SELECT * FROM [Formalizacion]"/>
  </connection>
  <connection id="3" xr16:uid="{F4722402-6304-4F64-9A01-C956906F102A}" keepAlive="1" name="Consulta - Seguimiento" description="Conexión a la consulta 'Seguimiento' en el libro." type="5" refreshedVersion="8" background="1" saveData="1">
    <dbPr connection="Provider=Microsoft.Mashup.OleDb.1;Data Source=$Workbook$;Location=Seguimiento;Extended Properties=&quot;&quot;" command="SELECT * FROM [Seguimiento]"/>
  </connection>
</connections>
</file>

<file path=xl/sharedStrings.xml><?xml version="1.0" encoding="utf-8"?>
<sst xmlns="http://schemas.openxmlformats.org/spreadsheetml/2006/main" count="1381" uniqueCount="251">
  <si>
    <t>Correo electrónico</t>
  </si>
  <si>
    <t>Entidad patrocinadora</t>
  </si>
  <si>
    <t>Preguntas Ejecución y Monitoreo.1. La entidad presentó los reportes de avance dentro de los plazos establecidos.</t>
  </si>
  <si>
    <t>Preguntas Ejecución y Monitoreo.2.. La información contenida en los reportes fue clara y completa.</t>
  </si>
  <si>
    <t>Preguntas Ejecución y Monitoreo.3. El soporte técnico brindado por la entidad permitió resolver oportunamente las incidencias del proyecto.</t>
  </si>
  <si>
    <t>Preguntas Ejecución y Monitoreo.4. La entidad gestionó de manera proactiva los riesgos y desvíos identificados.</t>
  </si>
  <si>
    <t>Preguntas Ejecución y Monitoreo.5. La comunicación de la entidad con el equipo técnico de Corfo fue fluida y eficiente</t>
  </si>
  <si>
    <t>Preguntas Ejecución y Monitoreo.6. En general, la calidad de la supervisión y monitoreo de la ejecución por parte de la entidad fue satisfactoria.</t>
  </si>
  <si>
    <t>hugo.henriquez@corfo.cl</t>
  </si>
  <si>
    <t>IncubaUDEC</t>
  </si>
  <si>
    <t>matias.rios@corfo.cl</t>
  </si>
  <si>
    <t>carlos.fleite@corfo.cl</t>
  </si>
  <si>
    <t>INNOVATORIUM</t>
  </si>
  <si>
    <t>carolinamunoz@corfo.cl</t>
  </si>
  <si>
    <t>Chrysalis</t>
  </si>
  <si>
    <t>valeriavalencia@corfo.cl</t>
  </si>
  <si>
    <t>bruno.araya@corfo.cl</t>
  </si>
  <si>
    <t>nrojas@corfo.cl</t>
  </si>
  <si>
    <t>UDD VENTURES</t>
  </si>
  <si>
    <t>maria.caba@corfo.cl</t>
  </si>
  <si>
    <t>claudia.roblero@corfo.cl</t>
  </si>
  <si>
    <t>carlos.castillo@corfo.cl</t>
  </si>
  <si>
    <t>barbara.ledesma@corfo.cl</t>
  </si>
  <si>
    <t>fabiola.davis@corfo.cl</t>
  </si>
  <si>
    <t>rodrigomunoz.m@corfo.cl</t>
  </si>
  <si>
    <t>pstuardo@corfo.cl</t>
  </si>
  <si>
    <t>mauricio.vega@corfo.cl</t>
  </si>
  <si>
    <t>nicolas.vargas@corfo.cl</t>
  </si>
  <si>
    <t>Entidad Patrocinadora</t>
  </si>
  <si>
    <t>Preguntas Formalización.1.El convenio se firmó dentro del plazo establecido y conforme a las instrucciones enviadas por Corfo.</t>
  </si>
  <si>
    <t>Preguntas Formalización.2.Las garantías fueron entregadas en los plazos establecidos y conforme a las instrucciones enviadas por Corfo.</t>
  </si>
  <si>
    <t>Preguntas Formalización.3. La entidad se encuentra al día con los requisitos necesarios para formalizar y realizar el pago correspondiente (RPJ; pagos previsionales; entrega de informes, entre otros).</t>
  </si>
  <si>
    <t>Preguntas Formalización.4.La comunicación con la entidad es fluida y permitió resolver dudas y requerimientos durante el proceso de formalización.</t>
  </si>
  <si>
    <t>Preguntas Formalización.5.En general, la entidad cumplió adecuadamente con el proceso completo de formalización de este proyecto.</t>
  </si>
  <si>
    <t>mmarin@corfo.cl</t>
  </si>
  <si>
    <t>mjbustos@corfo.cl</t>
  </si>
  <si>
    <t>maria.rojas@corfo.cl</t>
  </si>
  <si>
    <t>Correo</t>
  </si>
  <si>
    <t>gustavo.gavilanez@corfo.cl</t>
  </si>
  <si>
    <t>andreamorales@corfo.cl</t>
  </si>
  <si>
    <t>ggonzalezm@corfo.cl</t>
  </si>
  <si>
    <t>belen.rojas@corfo.cl</t>
  </si>
  <si>
    <t>ruth.rivas@corfo.cl</t>
  </si>
  <si>
    <t>sebastian.urrutia@corfo.cl</t>
  </si>
  <si>
    <t>amillones@corfo.cl</t>
  </si>
  <si>
    <t>gilda.araneda@corfo.cl</t>
  </si>
  <si>
    <t>imisetic@corfo.cl</t>
  </si>
  <si>
    <t>cyanez@corfo.cl</t>
  </si>
  <si>
    <t>fabiola.castillo@corfo.cl</t>
  </si>
  <si>
    <t>nibaldorojas@corfo.cl</t>
  </si>
  <si>
    <t>jordan.vicencio@corfo.cl</t>
  </si>
  <si>
    <t>constanza.perez@corfo.cl</t>
  </si>
  <si>
    <t>eduardovergara@corfo.cl</t>
  </si>
  <si>
    <t>fjimenez@corfo.cl</t>
  </si>
  <si>
    <t>pagurto@corfo.cl</t>
  </si>
  <si>
    <t>daniel.gomez@corfo.cl</t>
  </si>
  <si>
    <t>patricia.caceres@corfo.cl</t>
  </si>
  <si>
    <t>jorge.riquelme@corfo.cl</t>
  </si>
  <si>
    <t>Mubilla@corfo.cl</t>
  </si>
  <si>
    <t>paulodiaz@corfo.cl</t>
  </si>
  <si>
    <t>rodrigosanchez@corfo.cl</t>
  </si>
  <si>
    <t>alan.krstulovic@corfo.cl</t>
  </si>
  <si>
    <t>andres.leal@corfo.cl</t>
  </si>
  <si>
    <t>jaime.torres@corfo.cl</t>
  </si>
  <si>
    <t>maria.diaz@corfo.cl</t>
  </si>
  <si>
    <t>Nveliz@corfo.cl</t>
  </si>
  <si>
    <t>pamela.pizarro@corfo.cl</t>
  </si>
  <si>
    <t>victoria.zepeda@corfo.cl</t>
  </si>
  <si>
    <t>jaimeiturra@corfo.cl</t>
  </si>
  <si>
    <t>jramos@corfo.cl</t>
  </si>
  <si>
    <t>nicolas.calfuen@corfo.cl</t>
  </si>
  <si>
    <t>cavendano@corfo.cl</t>
  </si>
  <si>
    <t>fmejias@corfo.cl</t>
  </si>
  <si>
    <t>ivergara@corfo.cl</t>
  </si>
  <si>
    <t>pvaldes@corfo.cl</t>
  </si>
  <si>
    <t>szuniga@corfo.cl</t>
  </si>
  <si>
    <t>jpalomino@corfo.cl</t>
  </si>
  <si>
    <t>monica.poblete@corfo.cl</t>
  </si>
  <si>
    <t>victor.torres@corfo.cl</t>
  </si>
  <si>
    <t>carlacontreras@corfo.cl</t>
  </si>
  <si>
    <t>karla.sanchez@corfo.cl</t>
  </si>
  <si>
    <t>maria.opagina@corfo.cl</t>
  </si>
  <si>
    <t>maria.duran@corfo.cl</t>
  </si>
  <si>
    <t>maria.lama@corfo.cl</t>
  </si>
  <si>
    <t>mrubilar@corfo.cl</t>
  </si>
  <si>
    <t>pcabezas@corfo.cl</t>
  </si>
  <si>
    <t>franco.perez@corfo.cl</t>
  </si>
  <si>
    <t>jessenia.marileo@corfo.cl</t>
  </si>
  <si>
    <t>oscar.llanquitruf@corfo.cl</t>
  </si>
  <si>
    <t>pgarrido@corfo.cl</t>
  </si>
  <si>
    <t>josemunoz@corfo.cl</t>
  </si>
  <si>
    <t>hescobar@corfo.cl</t>
  </si>
  <si>
    <t>luis.cortes@corfo.cl</t>
  </si>
  <si>
    <t>ncampbell@corfo.cl</t>
  </si>
  <si>
    <t>pheinsohn@corfo.cl</t>
  </si>
  <si>
    <t>rsalas@corfo.cl</t>
  </si>
  <si>
    <t>daniela.trivino@corfo.cl</t>
  </si>
  <si>
    <t>alfredo.infante@corfo.cl</t>
  </si>
  <si>
    <t>mpconejeros@corfo.cl</t>
  </si>
  <si>
    <t>rodrigo.barrera@corfo.cl</t>
  </si>
  <si>
    <t>santiago.salinas@corfo.cl</t>
  </si>
  <si>
    <t>francisco.alderete@corfo.cl</t>
  </si>
  <si>
    <t>hsotomayor@corfo.cl</t>
  </si>
  <si>
    <t>agdalin.valenzuela@corfo.cl</t>
  </si>
  <si>
    <t>esteban.miranda@corfo.cl</t>
  </si>
  <si>
    <t>juan.jainaga@corfo.cl</t>
  </si>
  <si>
    <t>orlando.vargas@corfo.cl</t>
  </si>
  <si>
    <t>pcalisto@corfo.cl</t>
  </si>
  <si>
    <t>Region</t>
  </si>
  <si>
    <t>Región de Valparaíso</t>
  </si>
  <si>
    <t>Región Metropolitana de Santiago</t>
  </si>
  <si>
    <t>Región del Biobío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</si>
  <si>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</si>
  <si>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</si>
  <si>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</si>
  <si>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</si>
  <si>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</si>
  <si>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Libertador General Bernardo O'Higgins</t>
  </si>
  <si>
    <t>Región del Maule</t>
  </si>
  <si>
    <t>Región de Ñuble</t>
  </si>
  <si>
    <t>Región de La Araucanía</t>
  </si>
  <si>
    <t>Región de Los Lagos</t>
  </si>
  <si>
    <t>Región de Los Ríos</t>
  </si>
  <si>
    <t>Región de Aysén del General Carlos Ibáñez del Campo</t>
  </si>
  <si>
    <t>Región de Magallanes y de la Antártica Chilena</t>
  </si>
  <si>
    <t>Nacional</t>
  </si>
  <si>
    <t>1.El convenio se firmó dentro del plazo establecido y conforme a las instrucciones enviadas por Corfo.</t>
  </si>
  <si>
    <t>2.Las garantías fueron entregadas en los plazos establecidos y conforme a las instrucciones enviadas por Corfo.</t>
  </si>
  <si>
    <t>3. La entidad se encuentra al día con los requisitos necesarios para formalizar y realizar el pago correspondiente (RPJ; pagos previsionales; entrega de informes, entre otros).</t>
  </si>
  <si>
    <t>4.La comunicación con la entidad es fluida y permitió resolver dudas y requerimientos durante el proceso de formalización.</t>
  </si>
  <si>
    <t>5.En general, la entidad cumplió adecuadamente con el proceso completo de formalización de este proyecto.</t>
  </si>
  <si>
    <t>Evaluacion promedio</t>
  </si>
  <si>
    <t>Formalizacion</t>
  </si>
  <si>
    <t>Total</t>
  </si>
  <si>
    <t>Evaluacion promedio Formalizacion</t>
  </si>
  <si>
    <t>Seguimiento</t>
  </si>
  <si>
    <t>1. La entidad presentó los reportes de avance dentro de los plazos establecidos.</t>
  </si>
  <si>
    <t>3. El soporte técnico brindado por la entidad permitió resolver oportunamente las incidencias del proyecto.</t>
  </si>
  <si>
    <t>4. La entidad gestionó de manera proactiva los riesgos y desvíos identificados.</t>
  </si>
  <si>
    <t>5. La comunicación de la entidad con el equipo técnico de Corfo fue fluida y eficiente</t>
  </si>
  <si>
    <t>6. En general, la calidad de la supervisión y monitoreo de la ejecución por parte de la entidad fue satisfactoria.</t>
  </si>
  <si>
    <t>2. La información contenida en los reportes fue clara y completa.</t>
  </si>
  <si>
    <t>Evaluacion promedio Seguimiento</t>
  </si>
  <si>
    <t>vanessa.rojas@corfo.cl</t>
  </si>
  <si>
    <t>javiera.baeza@corfo.cl</t>
  </si>
  <si>
    <t>cfernandez@corfo.cl</t>
  </si>
  <si>
    <t>Mail</t>
  </si>
  <si>
    <t>Nombre ejecutivo</t>
  </si>
  <si>
    <t>Rol</t>
  </si>
  <si>
    <t>Link</t>
  </si>
  <si>
    <t>Contestada</t>
  </si>
  <si>
    <t>Maria Olivia Rojas</t>
  </si>
  <si>
    <t>https://forms.office.com/Pages/ResponsePage.aspx?id=JG6jYfBMCE6bgUS_0pd6XsBVcrg3xtVBio7lV-PLdV5UM1c0VjY4UDEzNjlNVEIzREFaOUgyMUVTTC4u&amp;rfc557bbad62e45a9a0fc5048f2377c6e=Chrysalis</t>
  </si>
  <si>
    <t>Constanza Perez</t>
  </si>
  <si>
    <t>https://forms.office.com/Pages/ResponsePage.aspx?id=JG6jYfBMCE6bgUS_0pd6XsBVcrg3xtVBio7lV-PLdV5UM1c0VjY4UDEzNjlNVEIzREFaOUgyMUVTTC4u&amp;rfc557bbad62e45a9a0fc5048f2377c6e=INNOVATORIUM</t>
  </si>
  <si>
    <t>María Elizabeth Díaz Lira</t>
  </si>
  <si>
    <t>https://forms.office.com/Pages/ResponsePage.aspx?id=JG6jYfBMCE6bgUS_0pd6XsBVcrg3xtVBio7lV-PLdV5UM1c0VjY4UDEzNjlNVEIzREFaOUgyMUVTTC4u&amp;rfc557bbad62e45a9a0fc5048f2377c6e=IncubaUDEC</t>
  </si>
  <si>
    <t>Claudia Roblero Quintanilla</t>
  </si>
  <si>
    <t>https://forms.office.com/Pages/ResponsePage.aspx?id=JG6jYfBMCE6bgUS_0pd6XsBVcrg3xtVBio7lV-PLdV5UM1c0VjY4UDEzNjlNVEIzREFaOUgyMUVTTC4u&amp;rfc557bbad62e45a9a0fc5048f2377c6e=UDD VENTURES</t>
  </si>
  <si>
    <t>Francisco Mejias</t>
  </si>
  <si>
    <t>Cristian Alejandro Fernandez Garrido</t>
  </si>
  <si>
    <t>Patricio Garrido</t>
  </si>
  <si>
    <t>Vanessa Rojas</t>
  </si>
  <si>
    <t>Patricia Calisto</t>
  </si>
  <si>
    <t>Javiera Baeza isla</t>
  </si>
  <si>
    <t>sebastian.zavala@corfo.cl</t>
  </si>
  <si>
    <t>Sebastian Zavala</t>
  </si>
  <si>
    <t>Sostenibilidad y Género</t>
  </si>
  <si>
    <t>https://forms.office.com/Pages/ResponsePage.aspx?id=JG6jYfBMCE6bgUS_0pd6XsBVcrg3xtVBio7lV-PLdV5UOVFYV0VFUEo3SjIzRURLRTUyTUQ1RVBKUi4u&amp;r58688e7d2b0e49888d3d1ce0edbcb7af=UDD VENTURES</t>
  </si>
  <si>
    <t>https://forms.office.com/Pages/ResponsePage.aspx?id=JG6jYfBMCE6bgUS_0pd6XsBVcrg3xtVBio7lV-PLdV5UOVFYV0VFUEo3SjIzRURLRTUyTUQ1RVBKUi4u&amp;r58688e7d2b0e49888d3d1ce0edbcb7af=IncubaUDEC</t>
  </si>
  <si>
    <t>https://forms.office.com/Pages/ResponsePage.aspx?id=JG6jYfBMCE6bgUS_0pd6XsBVcrg3xtVBio7lV-PLdV5UOVFYV0VFUEo3SjIzRURLRTUyTUQ1RVBKUi4u&amp;r58688e7d2b0e49888d3d1ce0edbcb7af=INNOVATORIUM</t>
  </si>
  <si>
    <t>https://forms.office.com/Pages/ResponsePage.aspx?id=JG6jYfBMCE6bgUS_0pd6XsBVcrg3xtVBio7lV-PLdV5UOVFYV0VFUEo3SjIzRURLRTUyTUQ1RVBKUi4u&amp;r58688e7d2b0e49888d3d1ce0edbcb7af=Chrysalis</t>
  </si>
  <si>
    <t xml:space="preserve">Belén Rojas Moya </t>
  </si>
  <si>
    <t>Ejecucion y Monitoreo</t>
  </si>
  <si>
    <t>https://forms.office.com/Pages/ResponsePage.aspx?id=JG6jYfBMCE6bgUS_0pd6XsBVcrg3xtVBio7lV-PLdV5URU5CMFdLSFE3QUQwU1g3MERVT0NVODBMUS4u&amp;r394c1b40a0684a61b39db5dae6ba25ac=INNOVATORIUM</t>
  </si>
  <si>
    <t>Sebastian Marcelo Urrutia Iglesias</t>
  </si>
  <si>
    <t>Ivania Misetic Suarez</t>
  </si>
  <si>
    <t>Nibaldo Rojas M</t>
  </si>
  <si>
    <t>https://forms.office.com/Pages/ResponsePage.aspx?id=JG6jYfBMCE6bgUS_0pd6XsBVcrg3xtVBio7lV-PLdV5URU5CMFdLSFE3QUQwU1g3MERVT0NVODBMUS4u&amp;r394c1b40a0684a61b39db5dae6ba25ac=Chrysalis</t>
  </si>
  <si>
    <t>Fabiola Carolina Castillo Muñiz</t>
  </si>
  <si>
    <t>Jordan Ernesto Vicencio Godoy</t>
  </si>
  <si>
    <t>Francisco Javier Jimenez Cangas</t>
  </si>
  <si>
    <t>Paola Agurto Aburto</t>
  </si>
  <si>
    <t>Daniel Alberto Gómez Bullard</t>
  </si>
  <si>
    <t>Eduardo Andres Vergara Lopez</t>
  </si>
  <si>
    <t>Gustavo Vladimir Gavilanez Caicedo</t>
  </si>
  <si>
    <t>Jorge Eduardo Riquelme Bellido</t>
  </si>
  <si>
    <t>Rodrigo Sánchez Giráldez</t>
  </si>
  <si>
    <t>https://forms.office.com/Pages/ResponsePage.aspx?id=JG6jYfBMCE6bgUS_0pd6XsBVcrg3xtVBio7lV-PLdV5URU5CMFdLSFE3QUQwU1g3MERVT0NVODBMUS4u&amp;r394c1b40a0684a61b39db5dae6ba25ac=IncubaUDEC</t>
  </si>
  <si>
    <t>Marcelo Ubilla R</t>
  </si>
  <si>
    <t>https://forms.office.com/Pages/ResponsePage.aspx?id=JG6jYfBMCE6bgUS_0pd6XsBVcrg3xtVBio7lV-PLdV5URU5CMFdLSFE3QUQwU1g3MERVT0NVODBMUS4u&amp;r394c1b40a0684a61b39db5dae6ba25ac=UDD VENTURES</t>
  </si>
  <si>
    <t>Barbara Ledesma Marchant</t>
  </si>
  <si>
    <t>Pamela Pizarro Puebla</t>
  </si>
  <si>
    <t>Jaime Torres Muñoz</t>
  </si>
  <si>
    <t>Natalia Belen Veliz Torres</t>
  </si>
  <si>
    <t>Victoria Alejandra Zepeda Farías</t>
  </si>
  <si>
    <t>Andrea Morales</t>
  </si>
  <si>
    <t>Andres Leal Vilches</t>
  </si>
  <si>
    <t>Jorge Andrés Ramos Fuentes</t>
  </si>
  <si>
    <t>Jaime Iturra Cires</t>
  </si>
  <si>
    <t>Nicolas Calfuen Valenzuela</t>
  </si>
  <si>
    <t>Carolina Paz Muñoz Rodriguez</t>
  </si>
  <si>
    <t>Patricio Valdes Sanchez</t>
  </si>
  <si>
    <t>Ssisy Zuñiga</t>
  </si>
  <si>
    <t>Víctor Torres Jara</t>
  </si>
  <si>
    <t>Carla Alejandra Contreras Schifferli</t>
  </si>
  <si>
    <t>Karla Andrea Sánchez Torres</t>
  </si>
  <si>
    <t>Maria Andrea Opagina Medina</t>
  </si>
  <si>
    <t>María Antonia Durán Weisse</t>
  </si>
  <si>
    <t>Maria Emilia Lama Pena Y Lillo</t>
  </si>
  <si>
    <t>Miguel Esteban Rubilar Rubilar</t>
  </si>
  <si>
    <t>Pedro Nolasco Cabezas Aguilera</t>
  </si>
  <si>
    <t>Gustavo.gavilanez@corfo.cl</t>
  </si>
  <si>
    <t>Guillians Romina González Moraga</t>
  </si>
  <si>
    <t>Franco Manuel Pérez Figueroa</t>
  </si>
  <si>
    <t>Oscar Carmelo Alfonso Llanquitruf Sandoval</t>
  </si>
  <si>
    <t>José Muñoz Garabito</t>
  </si>
  <si>
    <t>Patricio Garrido V</t>
  </si>
  <si>
    <t>Luis Alfredo Cortes Rodriguez</t>
  </si>
  <si>
    <t>Rodrigo Gustavo Salas Sarabia</t>
  </si>
  <si>
    <t>Paula Macarena Heinsohn</t>
  </si>
  <si>
    <t>Daniela Andrea Triviño Ojeda</t>
  </si>
  <si>
    <t>Alfredo Alejandro Infante Gonzalez</t>
  </si>
  <si>
    <t>María Paz Conejeros Guiñez</t>
  </si>
  <si>
    <t>Rodrigo Esteban Barrera Tamayo</t>
  </si>
  <si>
    <t>Francisco Alderete</t>
  </si>
  <si>
    <t>Hugo Sotomayor</t>
  </si>
  <si>
    <t>Agdalin Valenzuela</t>
  </si>
  <si>
    <t>Juan Pablo Jainaga</t>
  </si>
  <si>
    <t>Orlando Antonio Vargas Oyarzun</t>
  </si>
  <si>
    <t>Mauricio Vega Lopez</t>
  </si>
  <si>
    <t>María Soledad Marín</t>
  </si>
  <si>
    <t>Carlos Hernan Castillo Pardo</t>
  </si>
  <si>
    <t>María Jose Bustos</t>
  </si>
  <si>
    <t>Bruno Araya Montané</t>
  </si>
  <si>
    <t>Nicolás Ignacio Vargas Fuentes</t>
  </si>
  <si>
    <t>Rodrigo Muñoz Muñoz</t>
  </si>
  <si>
    <t>Fabiola Davis Salinas</t>
  </si>
  <si>
    <t>Alan Ronald Krstulovic Munoz</t>
  </si>
  <si>
    <t>Andrea Del Carmen Morales Ramos</t>
  </si>
  <si>
    <t>Valeria Ximena Valencia Henriquez</t>
  </si>
  <si>
    <t>Nelson Zilay Rojas Cerpa</t>
  </si>
  <si>
    <t>Hugo Nicolas Henriquez Rivas</t>
  </si>
  <si>
    <t>María Elena Caba Mora</t>
  </si>
  <si>
    <t>Matías Rios Henríquez</t>
  </si>
  <si>
    <t>Carlos Fleite</t>
  </si>
  <si>
    <t>Pablo Andres Stuardo Jeria</t>
  </si>
  <si>
    <t>Si</t>
  </si>
  <si>
    <t>No</t>
  </si>
  <si>
    <t>Region.1</t>
  </si>
  <si>
    <t>R08.PCA@corfo.cl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</si>
</sst>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4" fontId="1" fillId="0" borderId="3" xfId="0" applyNumberFormat="1" applyFont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0" fillId="0" borderId="1" xfId="0" applyBorder="1"/>
    <xf numFmtId="164" fontId="0" fillId="0" borderId="3" xfId="0" applyNumberFormat="1" applyBorder="1"/>
    <xf numFmtId="0" fontId="1" fillId="0" borderId="2" xfId="0" applyFont="1" applyBorder="1"/>
    <xf numFmtId="15" fontId="0" fillId="0" borderId="0" xfId="0" applyNumberFormat="1"/>
    <xf numFmtId="15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1"/>
    <xf numFmtId="0" fontId="2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0.0"/>
      <alignment horizontal="general" vertical="top" textRotation="0" wrapText="1" indent="0" justifyLastLine="0" shrinkToFit="0" readingOrder="0"/>
    </dxf>
    <dxf>
      <numFmt numFmtId="165" formatCode="#,#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20" formatCode="dd/mmm/yy"/>
    </dxf>
    <dxf>
      <numFmt numFmtId="20" formatCode="dd/mmm/yy"/>
    </dxf>
    <dxf>
      <numFmt numFmtId="164" formatCode="0.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142875</xdr:rowOff>
    </xdr:from>
    <xdr:to>
      <xdr:col>2</xdr:col>
      <xdr:colOff>676275</xdr:colOff>
      <xdr:row>10</xdr:row>
      <xdr:rowOff>104775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ntidad Patrocinadora">
              <a:extLst>
                <a:ext uri="{FF2B5EF4-FFF2-40B4-BE49-F238E27FC236}">
                  <a16:creationId xmlns:a16="http://schemas.microsoft.com/office/drawing/2014/main" id="{780BA972-4BBB-4300-82F9-876AEEF909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idad Patrocin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447675"/>
              <a:ext cx="211455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57150</xdr:colOff>
      <xdr:row>1</xdr:row>
      <xdr:rowOff>114300</xdr:rowOff>
    </xdr:from>
    <xdr:to>
      <xdr:col>5</xdr:col>
      <xdr:colOff>666750</xdr:colOff>
      <xdr:row>10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22041BF4-0B77-488E-B0F8-309C5AD0FF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50" y="419100"/>
              <a:ext cx="213360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66674</xdr:colOff>
      <xdr:row>14</xdr:row>
      <xdr:rowOff>47625</xdr:rowOff>
    </xdr:from>
    <xdr:to>
      <xdr:col>2</xdr:col>
      <xdr:colOff>647699</xdr:colOff>
      <xdr:row>28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Entidad patrocinadora 1">
              <a:extLst>
                <a:ext uri="{FF2B5EF4-FFF2-40B4-BE49-F238E27FC236}">
                  <a16:creationId xmlns:a16="http://schemas.microsoft.com/office/drawing/2014/main" id="{1677DE0A-9475-4914-80B5-4E74EB1FB4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idad patrocinado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705225"/>
              <a:ext cx="210502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28575</xdr:colOff>
      <xdr:row>14</xdr:row>
      <xdr:rowOff>85725</xdr:rowOff>
    </xdr:from>
    <xdr:to>
      <xdr:col>5</xdr:col>
      <xdr:colOff>657225</xdr:colOff>
      <xdr:row>28</xdr:row>
      <xdr:rowOff>85725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Origen convocatoria">
              <a:extLst>
                <a:ext uri="{FF2B5EF4-FFF2-40B4-BE49-F238E27FC236}">
                  <a16:creationId xmlns:a16="http://schemas.microsoft.com/office/drawing/2014/main" id="{BFC43884-29DA-4899-9A41-D451C4F6E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n convocat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575" y="3743325"/>
              <a:ext cx="21526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414D7E8E-D96B-41C5-824F-E1188CDDDB00}" autoFormatId="16" applyNumberFormats="0" applyBorderFormats="0" applyFontFormats="0" applyPatternFormats="0" applyAlignmentFormats="0" applyWidthHeightFormats="0">
  <queryTableRefresh nextId="12">
    <queryTableFields count="9">
      <queryTableField id="2" name="Correo electrónico" tableColumnId="2"/>
      <queryTableField id="3" name="Entidad Patrocinadora" tableColumnId="3"/>
      <queryTableField id="4" name="Preguntas Formalización.1.El convenio se firmó dentro del plazo establecido y conforme a las instrucciones enviadas por Corfo." tableColumnId="4"/>
      <queryTableField id="5" name="Preguntas Formalización.2.Las garantías fueron entregadas en los plazos establecidos y conforme a las instrucciones enviadas por Corfo." tableColumnId="5"/>
      <queryTableField id="6" name="Preguntas Formalización.3. La entidad se encuentra al día con los requisitos necesarios para formalizar y realizar el pago correspondiente (RPJ; pagos previsionales; entrega de informes, entre otros)." tableColumnId="6"/>
      <queryTableField id="7" name="Preguntas Formalización.4.La comunicación con la entidad es fluida y permitió resolver dudas y requerimientos durante el proceso de formalización." tableColumnId="7"/>
      <queryTableField id="8" name="Preguntas Formalización.5.En general, la entidad cumplió adecuadamente con el proceso completo de formalización de este proyecto." tableColumnId="8"/>
      <queryTableField id="9" name="Region" tableColumnId="9"/>
      <queryTableField id="11" name="Region.1" tableColumnId="10"/>
    </queryTableFields>
    <queryTableDeletedFields count="1">
      <deletedField name="Region.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06FD8-6388-49D4-B826-AB111A974275}" autoFormatId="16" applyNumberFormats="0" applyBorderFormats="0" applyFontFormats="0" applyPatternFormats="0" applyAlignmentFormats="0" applyWidthHeightFormats="0">
  <queryTableRefresh nextId="12">
    <queryTableFields count="10">
      <queryTableField id="1" name="Correo electrónico" tableColumnId="1"/>
      <queryTableField id="2" name="Entidad patrocinadora" tableColumnId="2"/>
      <queryTableField id="3" name="Preguntas Ejecución y Monitoreo.1. La entidad presentó los reportes de avance dentro de los plazos establecidos." tableColumnId="3"/>
      <queryTableField id="4" name="Preguntas Ejecución y Monitoreo.2.. La información contenida en los reportes fue clara y completa." tableColumnId="4"/>
      <queryTableField id="5" name="Preguntas Ejecución y Monitoreo.3. El soporte técnico brindado por la entidad permitió resolver oportunamente las incidencias del proyecto." tableColumnId="5"/>
      <queryTableField id="6" name="Preguntas Ejecución y Monitoreo.4. La entidad gestionó de manera proactiva los riesgos y desvíos identificados." tableColumnId="6"/>
      <queryTableField id="7" name="Preguntas Ejecución y Monitoreo.5. La comunicación de la entidad con el equipo técnico de Corfo fue fluida y eficiente" tableColumnId="7"/>
      <queryTableField id="8" name="Preguntas Ejecución y Monitoreo.6. En general, la calidad de la supervisión y monitoreo de la ejecución por parte de la entidad fue satisfactoria." tableColumnId="8"/>
      <queryTableField id="9" name="Region" tableColumnId="9"/>
      <queryTableField id="11" name="Region.1" tableColumnId="11"/>
    </queryTableFields>
    <queryTableDeletedFields count="1">
      <deletedField name="Region.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828EC55F-062E-4776-BB84-FA2ED6D11BAD}" autoFormatId="16" applyNumberFormats="0" applyBorderFormats="0" applyFontFormats="0" applyPatternFormats="0" applyAlignmentFormats="0" applyWidthHeightFormats="0">
  <queryTableRefresh nextId="3">
    <queryTableFields count="2">
      <queryTableField id="1" name="Correo" tableColumnId="1"/>
      <queryTableField id="2" name="Region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tidad_Patrocinadora" xr10:uid="{7B0F5539-50DB-4198-9B22-D143DE5ADA7E}" sourceName="Entidad Patrocinadora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4A801190-EFA2-490C-A1DA-348DB18BAE92}" sourceName="Region">
  <extLst>
    <x:ext xmlns:x15="http://schemas.microsoft.com/office/spreadsheetml/2010/11/main" uri="{2F2917AC-EB37-4324-AD4E-5DD8C200BD13}">
      <x15:tableSlicerCache tableId="2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tidad_patrocinadora1" xr10:uid="{120DE1B7-45C1-40C1-91F9-5D7A9CC77944}" sourceName="Entidad patrocinadora">
  <extLst>
    <x:ext xmlns:x15="http://schemas.microsoft.com/office/spreadsheetml/2010/11/main" uri="{2F2917AC-EB37-4324-AD4E-5DD8C200BD13}">
      <x15:tableSlicerCache tableId="1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igen_convocatoria" xr10:uid="{8D24DBEE-7C12-4841-9632-B66BC0EA7A80}" sourceName="Region">
  <extLst>
    <x:ext xmlns:x15="http://schemas.microsoft.com/office/spreadsheetml/2010/11/main" uri="{2F2917AC-EB37-4324-AD4E-5DD8C200BD13}">
      <x15:tableSlicerCache tableId="1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ntidad Patrocinadora" xr10:uid="{A2062773-121D-446A-B234-236D0C3F7A83}" cache="SegmentaciónDeDatos_Entidad_Patrocinadora" caption="Entidad Patrocinadora" rowHeight="257175"/>
  <slicer name="Region" xr10:uid="{A4AC89FE-78CA-4AEA-BF58-5E413AE3AB34}" cache="SegmentaciónDeDatos_Region" caption="Region" rowHeight="257175"/>
  <slicer name="Entidad patrocinadora 1" xr10:uid="{C7B997D1-7B50-4274-8B0D-DC571AF97F9F}" cache="SegmentaciónDeDatos_Entidad_patrocinadora1" caption="Entidad patrocinadora" rowHeight="257175"/>
  <slicer name="Origen convocatoria" xr10:uid="{1B600170-1BAD-48DD-BEA6-19CB9A2CA1B8}" cache="SegmentaciónDeDatos_Origen_convocatoria" caption="Region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48DE2E-0079-48D7-A59F-EFFB83ECF80C}" name="Formalizacion" displayName="Formalizacion" ref="A1:I30" tableType="queryTable" totalsRowCount="1" headerRowDxfId="24" dataDxfId="23" totalsRowDxfId="22">
  <autoFilter ref="A1:I29" xr:uid="{AE48DE2E-0079-48D7-A59F-EFFB83ECF80C}"/>
  <tableColumns count="9">
    <tableColumn id="2" xr3:uid="{4405ACCE-61A9-4B58-83A8-3BA059184D1D}" uniqueName="2" name="Correo electrónico" totalsRowLabel="Total" queryTableFieldId="2" dataDxfId="21" totalsRowDxfId="20"/>
    <tableColumn id="3" xr3:uid="{7F13544A-F076-4F32-A820-4FF10C0CFB92}" uniqueName="3" name="Entidad Patrocinadora" queryTableFieldId="3" dataDxfId="19" totalsRowDxfId="18"/>
    <tableColumn id="4" xr3:uid="{24424CA1-0A94-46FA-AEC1-5FAC23F7A6FF}" uniqueName="4" name="Preguntas Formalización.1.El convenio se firmó dentro del plazo establecido y conforme a las instrucciones enviadas por Corfo." totalsRowFunction="average" queryTableFieldId="4" dataDxfId="17" totalsRowDxfId="16"/>
    <tableColumn id="5" xr3:uid="{22BD43D6-317E-4CC9-862A-934E64789D96}" uniqueName="5" name="Preguntas Formalización.2.Las garantías fueron entregadas en los plazos establecidos y conforme a las instrucciones enviadas por Corfo." totalsRowFunction="average" queryTableFieldId="5" dataDxfId="15" totalsRowDxfId="14"/>
    <tableColumn id="6" xr3:uid="{ADA164AC-8B83-4C63-8866-8A5AA04E3A5E}" uniqueName="6" name="Preguntas Formalización.3. La entidad se encuentra al día con los requisitos necesarios para formalizar y realizar el pago correspondiente (RPJ; pagos previsionales; entrega de informes, entre otros)." totalsRowFunction="average" queryTableFieldId="6" dataDxfId="13" totalsRowDxfId="12"/>
    <tableColumn id="7" xr3:uid="{C2AD2FD7-085D-4E08-ACC2-2628C69FD152}" uniqueName="7" name="Preguntas Formalización.4.La comunicación con la entidad es fluida y permitió resolver dudas y requerimientos durante el proceso de formalización." totalsRowFunction="average" queryTableFieldId="7" dataDxfId="11" totalsRowDxfId="10"/>
    <tableColumn id="8" xr3:uid="{474579B9-6C2C-48F2-923B-2BB3C2E8DBA8}" uniqueName="8" name="Preguntas Formalización.5.En general, la entidad cumplió adecuadamente con el proceso completo de formalización de este proyecto." totalsRowFunction="average" queryTableFieldId="8" dataDxfId="9" totalsRowDxfId="8"/>
    <tableColumn id="9" xr3:uid="{A73341DB-C731-4088-9122-9116B4F52C4B}" uniqueName="9" name="Region" queryTableFieldId="9" dataDxfId="7" totalsRowDxfId="6"/>
    <tableColumn id="10" xr3:uid="{24465493-8914-4C18-B819-235620332B95}" uniqueName="10" name="Region.1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9FBA8-B010-4A0B-A2F1-6300E963664F}" name="Seguimiento" displayName="Seguimiento" ref="A1:J61" tableType="queryTable" totalsRowCount="1" headerRowDxfId="38" totalsRowDxfId="37">
  <autoFilter ref="A1:J60" xr:uid="{7169FBA8-B010-4A0B-A2F1-6300E963664F}"/>
  <tableColumns count="10">
    <tableColumn id="1" xr3:uid="{6C64BCE1-2DB4-44FC-9AF3-EB424B316BC4}" uniqueName="1" name="Correo electrónico" totalsRowLabel="Total" queryTableFieldId="1" dataDxfId="36" totalsRowDxfId="35"/>
    <tableColumn id="2" xr3:uid="{9FB5CBDE-E963-483F-AE53-AB8D2690BD1C}" uniqueName="2" name="Entidad patrocinadora" queryTableFieldId="2" dataDxfId="34" totalsRowDxfId="33"/>
    <tableColumn id="3" xr3:uid="{2E23395C-2496-4E5D-B4F4-5337992C6983}" uniqueName="3" name="Preguntas Ejecución y Monitoreo.1. La entidad presentó los reportes de avance dentro de los plazos establecidos." totalsRowFunction="average" queryTableFieldId="3" totalsRowDxfId="32"/>
    <tableColumn id="4" xr3:uid="{C6B94C13-2FE8-42ED-B36A-F658AC8478D8}" uniqueName="4" name="Preguntas Ejecución y Monitoreo.2.. La información contenida en los reportes fue clara y completa." totalsRowFunction="average" queryTableFieldId="4" totalsRowDxfId="31"/>
    <tableColumn id="5" xr3:uid="{299318D2-D435-4B4C-A3B5-FD1DE28F11D2}" uniqueName="5" name="Preguntas Ejecución y Monitoreo.3. El soporte técnico brindado por la entidad permitió resolver oportunamente las incidencias del proyecto." totalsRowFunction="average" queryTableFieldId="5" totalsRowDxfId="30"/>
    <tableColumn id="6" xr3:uid="{1DDAAB34-5BD8-4C64-975F-B81AC41B9A5D}" uniqueName="6" name="Preguntas Ejecución y Monitoreo.4. La entidad gestionó de manera proactiva los riesgos y desvíos identificados." totalsRowFunction="average" queryTableFieldId="6" totalsRowDxfId="29"/>
    <tableColumn id="7" xr3:uid="{04B89FB4-AE7C-4F9E-8A93-724A61F234ED}" uniqueName="7" name="Preguntas Ejecución y Monitoreo.5. La comunicación de la entidad con el equipo técnico de Corfo fue fluida y eficiente" totalsRowFunction="average" queryTableFieldId="7" totalsRowDxfId="28"/>
    <tableColumn id="8" xr3:uid="{1AA1D440-3B3C-4E85-882A-1A51116E8E0C}" uniqueName="8" name="Preguntas Ejecución y Monitoreo.6. En general, la calidad de la supervisión y monitoreo de la ejecución por parte de la entidad fue satisfactoria." totalsRowFunction="average" queryTableFieldId="8" totalsRowDxfId="27"/>
    <tableColumn id="9" xr3:uid="{80AA5CC3-C04A-4D0B-86B8-7AF55435D807}" uniqueName="9" name="Region" queryTableFieldId="9" dataDxfId="26" totalsRowDxfId="25"/>
    <tableColumn id="11" xr3:uid="{0289452E-27B3-4C2D-8E05-FA4317239723}" uniqueName="11" name="Region.1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6E2F0D-EA8C-484C-BEFF-239F4C378CC6}" name="Tabla1" displayName="Tabla1" ref="A1:F145" totalsRowShown="0">
  <autoFilter ref="A1:F145" xr:uid="{856E2F0D-EA8C-484C-BEFF-239F4C378CC6}"/>
  <sortState xmlns:xlrd2="http://schemas.microsoft.com/office/spreadsheetml/2017/richdata2" ref="A2:F145">
    <sortCondition ref="F1:F145"/>
  </sortState>
  <tableColumns count="6">
    <tableColumn id="1" xr3:uid="{1ED667B4-C0CB-48FA-BA8A-8276E7DCC619}" name="Mail"/>
    <tableColumn id="2" xr3:uid="{EE5ABB42-046D-4EEA-A49A-4649CCF3C02A}" name="Nombre ejecutivo"/>
    <tableColumn id="3" xr3:uid="{C922422B-E7E0-4C1F-B365-599AC3AE33E7}" name="Entidad Patrocinadora"/>
    <tableColumn id="4" xr3:uid="{F02C3BBD-778A-4989-9893-A56D22CE37E4}" name="Rol"/>
    <tableColumn id="5" xr3:uid="{C32B3D36-25E8-403D-B964-BA7FA9B58197}" name="Link"/>
    <tableColumn id="7" xr3:uid="{30C8D49C-D3A4-4328-8629-5E39509FF610}" name="Contestada" dataDxfId="5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1D0938-02DC-41A3-A58B-E66C1303CD64}" name="CorreoRegion" displayName="CorreoRegion" ref="A1:B93" tableType="queryTable" totalsRowShown="0">
  <autoFilter ref="A1:B93" xr:uid="{851D0938-02DC-41A3-A58B-E66C1303CD64}"/>
  <tableColumns count="2">
    <tableColumn id="1" xr3:uid="{7A942FF1-3797-4346-8DCB-5268AFACD5D1}" uniqueName="1" name="Correo" queryTableFieldId="1" dataDxfId="4"/>
    <tableColumn id="2" xr3:uid="{58446EE3-1925-4C7B-BAAA-B680AC690FC7}" uniqueName="2" name="Region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forms.office.com/Pages/ResponsePage.aspx?id=JG6jYfBMCE6bgUS_0pd6XsBVcrg3xtVBio7lV-PLdV5UM1c0VjY4UDEzNjlNVEIzREFaOUgyMUVTTC4u&amp;rfc557bbad62e45a9a0fc5048f2377c6e=Chrysali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8F81-CE4B-4560-AC9C-5CB25D1D67F0}">
  <dimension ref="A1:J32"/>
  <sheetViews>
    <sheetView topLeftCell="A2" workbookViewId="0">
      <selection activeCell="A30" sqref="A30"/>
    </sheetView>
  </sheetViews>
  <sheetFormatPr baseColWidth="10" defaultRowHeight="15" x14ac:dyDescent="0.25"/>
  <cols>
    <col min="1" max="1" width="23.5703125" style="10" bestFit="1" customWidth="1"/>
    <col min="2" max="2" width="23.28515625" style="10" bestFit="1" customWidth="1"/>
    <col min="3" max="7" width="81.140625" style="10" bestFit="1" customWidth="1"/>
    <col min="8" max="10" width="45.28515625" style="10" bestFit="1" customWidth="1"/>
    <col min="11" max="11" width="81.140625" bestFit="1" customWidth="1"/>
  </cols>
  <sheetData>
    <row r="1" spans="1:10" ht="45" x14ac:dyDescent="0.25">
      <c r="A1" s="10" t="s">
        <v>0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108</v>
      </c>
      <c r="I1" t="s">
        <v>249</v>
      </c>
      <c r="J1"/>
    </row>
    <row r="2" spans="1:10" x14ac:dyDescent="0.25">
      <c r="A2" s="10" t="s">
        <v>26</v>
      </c>
      <c r="B2" s="10" t="s">
        <v>14</v>
      </c>
      <c r="C2" s="10">
        <v>3</v>
      </c>
      <c r="D2" s="10">
        <v>6</v>
      </c>
      <c r="E2" s="10">
        <v>7</v>
      </c>
      <c r="F2" s="10">
        <v>7</v>
      </c>
      <c r="G2" s="10">
        <v>6</v>
      </c>
      <c r="H2" s="10" t="s">
        <v>113</v>
      </c>
      <c r="I2" t="s">
        <v>113</v>
      </c>
      <c r="J2"/>
    </row>
    <row r="3" spans="1:10" x14ac:dyDescent="0.25">
      <c r="A3" s="10" t="s">
        <v>26</v>
      </c>
      <c r="B3" s="10" t="s">
        <v>18</v>
      </c>
      <c r="C3" s="10">
        <v>4</v>
      </c>
      <c r="D3" s="10">
        <v>6</v>
      </c>
      <c r="E3" s="10">
        <v>6</v>
      </c>
      <c r="F3" s="10">
        <v>7</v>
      </c>
      <c r="G3" s="10">
        <v>7</v>
      </c>
      <c r="H3" s="10" t="s">
        <v>113</v>
      </c>
      <c r="I3" t="s">
        <v>113</v>
      </c>
      <c r="J3"/>
    </row>
    <row r="4" spans="1:10" x14ac:dyDescent="0.25">
      <c r="A4" s="10" t="s">
        <v>64</v>
      </c>
      <c r="B4" s="10" t="s">
        <v>12</v>
      </c>
      <c r="C4" s="10">
        <v>2</v>
      </c>
      <c r="D4" s="10">
        <v>2</v>
      </c>
      <c r="E4" s="10">
        <v>3</v>
      </c>
      <c r="F4" s="10">
        <v>2</v>
      </c>
      <c r="G4" s="10">
        <v>2</v>
      </c>
      <c r="H4" s="10" t="s">
        <v>110</v>
      </c>
      <c r="I4" t="s">
        <v>110</v>
      </c>
      <c r="J4"/>
    </row>
    <row r="5" spans="1:10" x14ac:dyDescent="0.25">
      <c r="A5" s="10" t="s">
        <v>64</v>
      </c>
      <c r="B5" s="10" t="s">
        <v>18</v>
      </c>
      <c r="C5" s="10">
        <v>5</v>
      </c>
      <c r="D5" s="10">
        <v>5</v>
      </c>
      <c r="E5" s="10">
        <v>5</v>
      </c>
      <c r="F5" s="10">
        <v>6</v>
      </c>
      <c r="G5" s="10">
        <v>5</v>
      </c>
      <c r="H5" s="10" t="s">
        <v>110</v>
      </c>
      <c r="I5" t="s">
        <v>110</v>
      </c>
      <c r="J5"/>
    </row>
    <row r="6" spans="1:10" x14ac:dyDescent="0.25">
      <c r="A6" s="10" t="s">
        <v>20</v>
      </c>
      <c r="B6" s="10" t="s">
        <v>14</v>
      </c>
      <c r="C6" s="10">
        <v>6</v>
      </c>
      <c r="D6" s="10">
        <v>6</v>
      </c>
      <c r="E6" s="10">
        <v>6</v>
      </c>
      <c r="F6" s="10">
        <v>6</v>
      </c>
      <c r="G6" s="10">
        <v>6</v>
      </c>
      <c r="H6" s="10" t="s">
        <v>117</v>
      </c>
      <c r="I6" t="s">
        <v>117</v>
      </c>
      <c r="J6"/>
    </row>
    <row r="7" spans="1:10" x14ac:dyDescent="0.25">
      <c r="A7" s="10" t="s">
        <v>20</v>
      </c>
      <c r="B7" s="10" t="s">
        <v>12</v>
      </c>
      <c r="C7" s="10">
        <v>2</v>
      </c>
      <c r="D7" s="10">
        <v>2</v>
      </c>
      <c r="E7" s="10">
        <v>2</v>
      </c>
      <c r="F7" s="10">
        <v>2</v>
      </c>
      <c r="G7" s="10">
        <v>2</v>
      </c>
      <c r="H7" s="10" t="s">
        <v>117</v>
      </c>
      <c r="I7" t="s">
        <v>117</v>
      </c>
      <c r="J7"/>
    </row>
    <row r="8" spans="1:10" x14ac:dyDescent="0.25">
      <c r="A8" s="10" t="s">
        <v>20</v>
      </c>
      <c r="B8" s="10" t="s">
        <v>18</v>
      </c>
      <c r="C8" s="10">
        <v>6</v>
      </c>
      <c r="D8" s="10">
        <v>6</v>
      </c>
      <c r="E8" s="10">
        <v>6</v>
      </c>
      <c r="F8" s="10">
        <v>6</v>
      </c>
      <c r="G8" s="10">
        <v>6</v>
      </c>
      <c r="H8" s="10" t="s">
        <v>117</v>
      </c>
      <c r="I8" t="s">
        <v>117</v>
      </c>
      <c r="J8"/>
    </row>
    <row r="9" spans="1:10" x14ac:dyDescent="0.25">
      <c r="A9" s="10" t="s">
        <v>72</v>
      </c>
      <c r="B9" s="10" t="s">
        <v>14</v>
      </c>
      <c r="C9" s="10">
        <v>6</v>
      </c>
      <c r="D9" s="10">
        <v>6</v>
      </c>
      <c r="E9" s="10">
        <v>6</v>
      </c>
      <c r="F9" s="10">
        <v>6</v>
      </c>
      <c r="G9" s="10">
        <v>6</v>
      </c>
      <c r="H9" s="10" t="s">
        <v>118</v>
      </c>
      <c r="I9" t="s">
        <v>118</v>
      </c>
      <c r="J9"/>
    </row>
    <row r="10" spans="1:10" x14ac:dyDescent="0.25">
      <c r="A10" s="10" t="s">
        <v>72</v>
      </c>
      <c r="B10" s="10" t="s">
        <v>9</v>
      </c>
      <c r="C10" s="10">
        <v>6</v>
      </c>
      <c r="D10" s="10">
        <v>6</v>
      </c>
      <c r="E10" s="10">
        <v>6</v>
      </c>
      <c r="F10" s="10">
        <v>6</v>
      </c>
      <c r="G10" s="10">
        <v>6</v>
      </c>
      <c r="H10" s="10" t="s">
        <v>118</v>
      </c>
      <c r="I10" t="s">
        <v>118</v>
      </c>
      <c r="J10"/>
    </row>
    <row r="11" spans="1:10" x14ac:dyDescent="0.25">
      <c r="A11" s="10" t="s">
        <v>72</v>
      </c>
      <c r="B11" s="10" t="s">
        <v>18</v>
      </c>
      <c r="C11" s="10">
        <v>6</v>
      </c>
      <c r="D11" s="10">
        <v>6</v>
      </c>
      <c r="E11" s="10">
        <v>6</v>
      </c>
      <c r="F11" s="10">
        <v>6</v>
      </c>
      <c r="G11" s="10">
        <v>6</v>
      </c>
      <c r="H11" s="10" t="s">
        <v>118</v>
      </c>
      <c r="I11" t="s">
        <v>118</v>
      </c>
      <c r="J11"/>
    </row>
    <row r="12" spans="1:10" x14ac:dyDescent="0.25">
      <c r="A12" s="10" t="s">
        <v>21</v>
      </c>
      <c r="B12" s="10" t="s">
        <v>18</v>
      </c>
      <c r="C12" s="10">
        <v>7</v>
      </c>
      <c r="D12" s="10">
        <v>7</v>
      </c>
      <c r="E12" s="10">
        <v>6</v>
      </c>
      <c r="F12" s="10">
        <v>7</v>
      </c>
      <c r="G12" s="10">
        <v>6</v>
      </c>
      <c r="H12" s="10" t="s">
        <v>119</v>
      </c>
      <c r="I12" t="s">
        <v>119</v>
      </c>
      <c r="J12"/>
    </row>
    <row r="13" spans="1:10" x14ac:dyDescent="0.25">
      <c r="A13" s="10" t="s">
        <v>21</v>
      </c>
      <c r="B13" s="10" t="s">
        <v>9</v>
      </c>
      <c r="C13" s="10">
        <v>7</v>
      </c>
      <c r="D13" s="10">
        <v>7</v>
      </c>
      <c r="E13" s="10">
        <v>6</v>
      </c>
      <c r="F13" s="10">
        <v>7</v>
      </c>
      <c r="G13" s="10">
        <v>6</v>
      </c>
      <c r="H13" s="10" t="s">
        <v>119</v>
      </c>
      <c r="I13" t="s">
        <v>119</v>
      </c>
      <c r="J13"/>
    </row>
    <row r="14" spans="1:10" x14ac:dyDescent="0.25">
      <c r="A14" s="10" t="s">
        <v>89</v>
      </c>
      <c r="B14" s="10" t="s">
        <v>18</v>
      </c>
      <c r="C14" s="10">
        <v>6</v>
      </c>
      <c r="D14" s="10">
        <v>6</v>
      </c>
      <c r="E14" s="10">
        <v>6</v>
      </c>
      <c r="F14" s="10">
        <v>7</v>
      </c>
      <c r="G14" s="10">
        <v>6</v>
      </c>
      <c r="H14" s="10" t="s">
        <v>120</v>
      </c>
      <c r="I14" t="s">
        <v>120</v>
      </c>
      <c r="J14"/>
    </row>
    <row r="15" spans="1:10" x14ac:dyDescent="0.25">
      <c r="A15" s="10" t="s">
        <v>35</v>
      </c>
      <c r="B15" s="10" t="s">
        <v>18</v>
      </c>
      <c r="C15" s="10">
        <v>7</v>
      </c>
      <c r="D15" s="10">
        <v>7</v>
      </c>
      <c r="E15" s="10">
        <v>6</v>
      </c>
      <c r="F15" s="10">
        <v>7</v>
      </c>
      <c r="G15" s="10">
        <v>7</v>
      </c>
      <c r="H15" s="10" t="s">
        <v>125</v>
      </c>
      <c r="I15" t="s">
        <v>125</v>
      </c>
      <c r="J15"/>
    </row>
    <row r="16" spans="1:10" x14ac:dyDescent="0.25">
      <c r="A16" s="10" t="s">
        <v>35</v>
      </c>
      <c r="B16" s="10" t="s">
        <v>9</v>
      </c>
      <c r="C16" s="10">
        <v>6</v>
      </c>
      <c r="D16" s="10">
        <v>6</v>
      </c>
      <c r="E16" s="10">
        <v>5</v>
      </c>
      <c r="F16" s="10">
        <v>6</v>
      </c>
      <c r="G16" s="10">
        <v>5</v>
      </c>
      <c r="H16" s="10" t="s">
        <v>125</v>
      </c>
      <c r="I16" t="s">
        <v>125</v>
      </c>
      <c r="J16"/>
    </row>
    <row r="17" spans="1:10" x14ac:dyDescent="0.25">
      <c r="A17" s="10" t="s">
        <v>35</v>
      </c>
      <c r="B17" s="10" t="s">
        <v>12</v>
      </c>
      <c r="C17" s="10">
        <v>7</v>
      </c>
      <c r="D17" s="10">
        <v>7</v>
      </c>
      <c r="E17" s="10">
        <v>5</v>
      </c>
      <c r="F17" s="10">
        <v>7</v>
      </c>
      <c r="G17" s="10">
        <v>6</v>
      </c>
      <c r="H17" s="10" t="s">
        <v>125</v>
      </c>
      <c r="I17" t="s">
        <v>125</v>
      </c>
      <c r="J17"/>
    </row>
    <row r="18" spans="1:10" x14ac:dyDescent="0.25">
      <c r="A18" s="10" t="s">
        <v>35</v>
      </c>
      <c r="B18" s="10" t="s">
        <v>14</v>
      </c>
      <c r="C18" s="10">
        <v>7</v>
      </c>
      <c r="D18" s="10">
        <v>7</v>
      </c>
      <c r="E18" s="10">
        <v>6</v>
      </c>
      <c r="F18" s="10">
        <v>6</v>
      </c>
      <c r="G18" s="10">
        <v>6</v>
      </c>
      <c r="H18" s="10" t="s">
        <v>125</v>
      </c>
      <c r="I18" t="s">
        <v>125</v>
      </c>
      <c r="J18"/>
    </row>
    <row r="19" spans="1:10" x14ac:dyDescent="0.25">
      <c r="A19" s="10" t="s">
        <v>34</v>
      </c>
      <c r="B19" s="10" t="s">
        <v>14</v>
      </c>
      <c r="C19" s="10">
        <v>7</v>
      </c>
      <c r="D19" s="10">
        <v>7</v>
      </c>
      <c r="E19" s="10">
        <v>7</v>
      </c>
      <c r="F19" s="10">
        <v>7</v>
      </c>
      <c r="G19" s="10">
        <v>7</v>
      </c>
      <c r="H19" s="10" t="s">
        <v>109</v>
      </c>
      <c r="I19" t="s">
        <v>109</v>
      </c>
      <c r="J19"/>
    </row>
    <row r="20" spans="1:10" x14ac:dyDescent="0.25">
      <c r="A20" s="10" t="s">
        <v>34</v>
      </c>
      <c r="B20" s="10" t="s">
        <v>14</v>
      </c>
      <c r="C20" s="10">
        <v>7</v>
      </c>
      <c r="D20" s="10">
        <v>7</v>
      </c>
      <c r="E20" s="10">
        <v>7</v>
      </c>
      <c r="F20" s="10">
        <v>7</v>
      </c>
      <c r="G20" s="10">
        <v>7</v>
      </c>
      <c r="H20" s="10" t="s">
        <v>109</v>
      </c>
      <c r="I20" t="s">
        <v>109</v>
      </c>
      <c r="J20"/>
    </row>
    <row r="21" spans="1:10" x14ac:dyDescent="0.25">
      <c r="A21" s="10" t="s">
        <v>36</v>
      </c>
      <c r="B21" s="10" t="s">
        <v>12</v>
      </c>
      <c r="C21" s="10">
        <v>7</v>
      </c>
      <c r="D21" s="10">
        <v>6</v>
      </c>
      <c r="E21" s="10">
        <v>6</v>
      </c>
      <c r="F21" s="10">
        <v>7</v>
      </c>
      <c r="G21" s="10">
        <v>7</v>
      </c>
      <c r="H21" s="10" t="s">
        <v>115</v>
      </c>
      <c r="I21" t="s">
        <v>115</v>
      </c>
      <c r="J21"/>
    </row>
    <row r="22" spans="1:10" x14ac:dyDescent="0.25">
      <c r="A22" s="10" t="s">
        <v>36</v>
      </c>
      <c r="B22" s="10" t="s">
        <v>14</v>
      </c>
      <c r="C22" s="10">
        <v>7</v>
      </c>
      <c r="D22" s="10">
        <v>7</v>
      </c>
      <c r="E22" s="10">
        <v>6</v>
      </c>
      <c r="F22" s="10">
        <v>7</v>
      </c>
      <c r="G22" s="10">
        <v>7</v>
      </c>
      <c r="H22" s="10" t="s">
        <v>115</v>
      </c>
      <c r="I22" t="s">
        <v>115</v>
      </c>
      <c r="J22"/>
    </row>
    <row r="23" spans="1:10" x14ac:dyDescent="0.25">
      <c r="A23" s="10" t="s">
        <v>143</v>
      </c>
      <c r="B23" s="10" t="s">
        <v>12</v>
      </c>
      <c r="C23" s="10">
        <v>6</v>
      </c>
      <c r="D23" s="10">
        <v>1</v>
      </c>
      <c r="E23" s="10">
        <v>2</v>
      </c>
      <c r="F23" s="10">
        <v>4</v>
      </c>
      <c r="G23" s="10">
        <v>2</v>
      </c>
      <c r="H23" s="10" t="s">
        <v>121</v>
      </c>
      <c r="I23" t="s">
        <v>121</v>
      </c>
      <c r="J23"/>
    </row>
    <row r="24" spans="1:10" x14ac:dyDescent="0.25">
      <c r="A24" s="10" t="s">
        <v>144</v>
      </c>
      <c r="B24" s="10" t="s">
        <v>18</v>
      </c>
      <c r="C24" s="10">
        <v>6</v>
      </c>
      <c r="D24" s="10">
        <v>5</v>
      </c>
      <c r="E24" s="10">
        <v>5</v>
      </c>
      <c r="F24" s="10">
        <v>6</v>
      </c>
      <c r="G24" s="10">
        <v>6</v>
      </c>
      <c r="H24" s="10" t="s">
        <v>125</v>
      </c>
      <c r="I24" t="s">
        <v>125</v>
      </c>
      <c r="J24"/>
    </row>
    <row r="25" spans="1:10" x14ac:dyDescent="0.25">
      <c r="A25" s="10" t="s">
        <v>144</v>
      </c>
      <c r="B25" s="10" t="s">
        <v>9</v>
      </c>
      <c r="C25" s="10">
        <v>5</v>
      </c>
      <c r="D25" s="10">
        <v>5</v>
      </c>
      <c r="E25" s="10">
        <v>4</v>
      </c>
      <c r="F25" s="10">
        <v>5</v>
      </c>
      <c r="G25" s="10">
        <v>5</v>
      </c>
      <c r="H25" s="10" t="s">
        <v>125</v>
      </c>
      <c r="I25" t="s">
        <v>125</v>
      </c>
      <c r="J25"/>
    </row>
    <row r="26" spans="1:10" x14ac:dyDescent="0.25">
      <c r="A26" s="10" t="s">
        <v>144</v>
      </c>
      <c r="B26" s="10" t="s">
        <v>12</v>
      </c>
      <c r="C26" s="10">
        <v>6</v>
      </c>
      <c r="D26" s="10">
        <v>5</v>
      </c>
      <c r="E26" s="10">
        <v>5</v>
      </c>
      <c r="F26" s="10">
        <v>6</v>
      </c>
      <c r="G26" s="10">
        <v>6</v>
      </c>
      <c r="H26" s="10" t="s">
        <v>125</v>
      </c>
      <c r="I26" t="s">
        <v>125</v>
      </c>
      <c r="J26"/>
    </row>
    <row r="27" spans="1:10" x14ac:dyDescent="0.25">
      <c r="A27" s="10" t="s">
        <v>144</v>
      </c>
      <c r="B27" s="10" t="s">
        <v>14</v>
      </c>
      <c r="C27" s="10">
        <v>5</v>
      </c>
      <c r="D27" s="10">
        <v>6</v>
      </c>
      <c r="E27" s="10">
        <v>5</v>
      </c>
      <c r="F27" s="10">
        <v>6</v>
      </c>
      <c r="G27" s="10">
        <v>6</v>
      </c>
      <c r="H27" s="10" t="s">
        <v>125</v>
      </c>
      <c r="I27" t="s">
        <v>125</v>
      </c>
      <c r="J27"/>
    </row>
    <row r="28" spans="1:10" x14ac:dyDescent="0.25">
      <c r="A28" s="10" t="s">
        <v>145</v>
      </c>
      <c r="B28" s="10" t="s">
        <v>9</v>
      </c>
      <c r="C28" s="10">
        <v>7</v>
      </c>
      <c r="D28" s="10">
        <v>7</v>
      </c>
      <c r="E28" s="10">
        <v>6</v>
      </c>
      <c r="F28" s="10">
        <v>7</v>
      </c>
      <c r="G28" s="10">
        <v>7</v>
      </c>
      <c r="H28" s="10" t="s">
        <v>122</v>
      </c>
      <c r="I28" t="s">
        <v>122</v>
      </c>
      <c r="J28"/>
    </row>
    <row r="29" spans="1:10" x14ac:dyDescent="0.25">
      <c r="A29" s="10" t="s">
        <v>145</v>
      </c>
      <c r="B29" s="10" t="s">
        <v>18</v>
      </c>
      <c r="C29" s="10">
        <v>6</v>
      </c>
      <c r="D29" s="10">
        <v>7</v>
      </c>
      <c r="E29" s="10">
        <v>6</v>
      </c>
      <c r="F29" s="10">
        <v>7</v>
      </c>
      <c r="G29" s="10">
        <v>7</v>
      </c>
      <c r="H29" s="10" t="s">
        <v>122</v>
      </c>
      <c r="I29" t="s">
        <v>122</v>
      </c>
      <c r="J29"/>
    </row>
    <row r="30" spans="1:10" x14ac:dyDescent="0.25">
      <c r="A30" s="11" t="s">
        <v>133</v>
      </c>
      <c r="B30" s="11"/>
      <c r="C30" s="11">
        <f>SUBTOTAL(101,Formalizacion[Preguntas Formalización.1.El convenio se firmó dentro del plazo establecido y conforme a las instrucciones enviadas por Corfo.])</f>
        <v>5.7857142857142856</v>
      </c>
      <c r="D30" s="11">
        <f>SUBTOTAL(101,Formalizacion[Preguntas Formalización.2.Las garantías fueron entregadas en los plazos establecidos y conforme a las instrucciones enviadas por Corfo.])</f>
        <v>5.75</v>
      </c>
      <c r="E30" s="11">
        <f>SUBTOTAL(101,Formalizacion[Preguntas Formalización.3. La entidad se encuentra al día con los requisitos necesarios para formalizar y realizar el pago correspondiente (RPJ; pagos previsionales; entrega de informes, entre otros).])</f>
        <v>5.4285714285714288</v>
      </c>
      <c r="F30" s="11">
        <f>SUBTOTAL(101,Formalizacion[Preguntas Formalización.4.La comunicación con la entidad es fluida y permitió resolver dudas y requerimientos durante el proceso de formalización.])</f>
        <v>6.0714285714285712</v>
      </c>
      <c r="G30" s="11">
        <f>SUBTOTAL(101,Formalizacion[Preguntas Formalización.5.En general, la entidad cumplió adecuadamente con el proceso completo de formalización de este proyecto.])</f>
        <v>5.75</v>
      </c>
      <c r="H30" s="11"/>
      <c r="I30"/>
      <c r="J30"/>
    </row>
    <row r="31" spans="1:10" x14ac:dyDescent="0.25">
      <c r="J31"/>
    </row>
    <row r="32" spans="1:10" x14ac:dyDescent="0.25">
      <c r="J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790F-8886-4869-8818-64524FD2DCA2}">
  <dimension ref="A1:J61"/>
  <sheetViews>
    <sheetView workbookViewId="0">
      <selection activeCell="A2" sqref="A2"/>
    </sheetView>
  </sheetViews>
  <sheetFormatPr baseColWidth="10" defaultColWidth="25" defaultRowHeight="15" x14ac:dyDescent="0.25"/>
  <cols>
    <col min="1" max="1" width="25.140625" style="8" bestFit="1" customWidth="1"/>
    <col min="2" max="2" width="23.28515625" bestFit="1" customWidth="1"/>
    <col min="3" max="8" width="81.140625" bestFit="1" customWidth="1"/>
    <col min="9" max="10" width="45.28515625" bestFit="1" customWidth="1"/>
  </cols>
  <sheetData>
    <row r="1" spans="1:10" ht="3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108</v>
      </c>
      <c r="J1" t="s">
        <v>249</v>
      </c>
    </row>
    <row r="2" spans="1:10" x14ac:dyDescent="0.25">
      <c r="A2" s="8" t="s">
        <v>8</v>
      </c>
      <c r="B2" t="s">
        <v>9</v>
      </c>
      <c r="C2">
        <v>6</v>
      </c>
      <c r="D2">
        <v>6</v>
      </c>
      <c r="E2">
        <v>7</v>
      </c>
      <c r="F2">
        <v>6</v>
      </c>
      <c r="G2">
        <v>7</v>
      </c>
      <c r="H2">
        <v>6</v>
      </c>
      <c r="I2" t="s">
        <v>110</v>
      </c>
      <c r="J2" t="s">
        <v>110</v>
      </c>
    </row>
    <row r="3" spans="1:10" x14ac:dyDescent="0.25">
      <c r="A3" s="8" t="s">
        <v>10</v>
      </c>
      <c r="B3" t="s">
        <v>9</v>
      </c>
      <c r="C3">
        <v>6</v>
      </c>
      <c r="D3">
        <v>7</v>
      </c>
      <c r="E3">
        <v>6</v>
      </c>
      <c r="F3">
        <v>5</v>
      </c>
      <c r="G3">
        <v>5</v>
      </c>
      <c r="H3">
        <v>6</v>
      </c>
      <c r="I3" t="s">
        <v>110</v>
      </c>
      <c r="J3" t="s">
        <v>110</v>
      </c>
    </row>
    <row r="4" spans="1:10" x14ac:dyDescent="0.25">
      <c r="A4" s="8" t="s">
        <v>11</v>
      </c>
      <c r="B4" t="s">
        <v>12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 t="s">
        <v>110</v>
      </c>
      <c r="J4" t="s">
        <v>110</v>
      </c>
    </row>
    <row r="5" spans="1:10" x14ac:dyDescent="0.25">
      <c r="A5" s="8" t="s">
        <v>13</v>
      </c>
      <c r="B5" t="s">
        <v>14</v>
      </c>
      <c r="C5">
        <v>6</v>
      </c>
      <c r="D5">
        <v>6</v>
      </c>
      <c r="E5">
        <v>5</v>
      </c>
      <c r="F5">
        <v>5</v>
      </c>
      <c r="G5">
        <v>5</v>
      </c>
      <c r="H5">
        <v>6</v>
      </c>
      <c r="I5" t="s">
        <v>109</v>
      </c>
      <c r="J5" t="s">
        <v>109</v>
      </c>
    </row>
    <row r="6" spans="1:10" x14ac:dyDescent="0.25">
      <c r="A6" s="8" t="s">
        <v>15</v>
      </c>
      <c r="B6" t="s">
        <v>12</v>
      </c>
      <c r="C6">
        <v>2</v>
      </c>
      <c r="D6">
        <v>5</v>
      </c>
      <c r="E6">
        <v>2</v>
      </c>
      <c r="F6">
        <v>1</v>
      </c>
      <c r="G6">
        <v>1</v>
      </c>
      <c r="H6">
        <v>1</v>
      </c>
      <c r="I6" t="s">
        <v>113</v>
      </c>
      <c r="J6" t="s">
        <v>113</v>
      </c>
    </row>
    <row r="7" spans="1:10" x14ac:dyDescent="0.25">
      <c r="A7" s="8" t="s">
        <v>10</v>
      </c>
      <c r="B7" t="s">
        <v>12</v>
      </c>
      <c r="C7">
        <v>6</v>
      </c>
      <c r="D7">
        <v>7</v>
      </c>
      <c r="E7">
        <v>7</v>
      </c>
      <c r="F7">
        <v>6</v>
      </c>
      <c r="G7">
        <v>6</v>
      </c>
      <c r="H7">
        <v>6</v>
      </c>
      <c r="I7" t="s">
        <v>113</v>
      </c>
      <c r="J7" t="s">
        <v>113</v>
      </c>
    </row>
    <row r="8" spans="1:10" x14ac:dyDescent="0.25">
      <c r="A8" s="8" t="s">
        <v>16</v>
      </c>
      <c r="B8" t="s">
        <v>14</v>
      </c>
      <c r="C8">
        <v>6</v>
      </c>
      <c r="D8">
        <v>7</v>
      </c>
      <c r="E8">
        <v>6</v>
      </c>
      <c r="F8">
        <v>7</v>
      </c>
      <c r="G8">
        <v>7</v>
      </c>
      <c r="H8">
        <v>6</v>
      </c>
      <c r="I8" t="s">
        <v>113</v>
      </c>
      <c r="J8" t="s">
        <v>113</v>
      </c>
    </row>
    <row r="9" spans="1:10" x14ac:dyDescent="0.25">
      <c r="A9" s="8" t="s">
        <v>17</v>
      </c>
      <c r="B9" t="s">
        <v>18</v>
      </c>
      <c r="C9">
        <v>6</v>
      </c>
      <c r="D9">
        <v>6</v>
      </c>
      <c r="E9">
        <v>6</v>
      </c>
      <c r="F9">
        <v>5</v>
      </c>
      <c r="G9">
        <v>4</v>
      </c>
      <c r="H9">
        <v>6</v>
      </c>
      <c r="I9" t="s">
        <v>110</v>
      </c>
      <c r="J9" t="s">
        <v>110</v>
      </c>
    </row>
    <row r="10" spans="1:10" x14ac:dyDescent="0.25">
      <c r="A10" s="8" t="s">
        <v>10</v>
      </c>
      <c r="B10" t="s">
        <v>18</v>
      </c>
      <c r="C10">
        <v>7</v>
      </c>
      <c r="D10">
        <v>7</v>
      </c>
      <c r="E10">
        <v>6</v>
      </c>
      <c r="F10">
        <v>6</v>
      </c>
      <c r="G10">
        <v>7</v>
      </c>
      <c r="H10">
        <v>6</v>
      </c>
      <c r="I10" t="s">
        <v>110</v>
      </c>
      <c r="J10" t="s">
        <v>110</v>
      </c>
    </row>
    <row r="11" spans="1:10" x14ac:dyDescent="0.25">
      <c r="A11" s="8" t="s">
        <v>19</v>
      </c>
      <c r="B11" t="s">
        <v>9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  <c r="I11" t="s">
        <v>110</v>
      </c>
      <c r="J11" t="s">
        <v>110</v>
      </c>
    </row>
    <row r="12" spans="1:10" x14ac:dyDescent="0.25">
      <c r="A12" s="8" t="s">
        <v>20</v>
      </c>
      <c r="B12" t="s">
        <v>12</v>
      </c>
      <c r="C12">
        <v>2</v>
      </c>
      <c r="D12">
        <v>2</v>
      </c>
      <c r="E12">
        <v>2</v>
      </c>
      <c r="F12">
        <v>2</v>
      </c>
      <c r="G12">
        <v>1</v>
      </c>
      <c r="H12">
        <v>2</v>
      </c>
      <c r="I12" t="s">
        <v>110</v>
      </c>
      <c r="J12" t="s">
        <v>110</v>
      </c>
    </row>
    <row r="13" spans="1:10" x14ac:dyDescent="0.25">
      <c r="A13" s="8" t="s">
        <v>21</v>
      </c>
      <c r="B13" t="s">
        <v>12</v>
      </c>
      <c r="C13">
        <v>6</v>
      </c>
      <c r="D13">
        <v>7</v>
      </c>
      <c r="E13">
        <v>6</v>
      </c>
      <c r="F13">
        <v>7</v>
      </c>
      <c r="G13">
        <v>5</v>
      </c>
      <c r="H13">
        <v>6</v>
      </c>
      <c r="I13" t="s">
        <v>110</v>
      </c>
      <c r="J13" t="s">
        <v>110</v>
      </c>
    </row>
    <row r="14" spans="1:10" x14ac:dyDescent="0.25">
      <c r="A14" s="8" t="s">
        <v>23</v>
      </c>
      <c r="B14" t="s">
        <v>12</v>
      </c>
      <c r="C14">
        <v>5</v>
      </c>
      <c r="D14">
        <v>5</v>
      </c>
      <c r="E14">
        <v>5</v>
      </c>
      <c r="F14">
        <v>2</v>
      </c>
      <c r="G14">
        <v>2</v>
      </c>
      <c r="H14">
        <v>2</v>
      </c>
      <c r="I14" t="s">
        <v>110</v>
      </c>
      <c r="J14" t="s">
        <v>110</v>
      </c>
    </row>
    <row r="15" spans="1:10" x14ac:dyDescent="0.25">
      <c r="A15" s="8" t="s">
        <v>23</v>
      </c>
      <c r="B15" t="s">
        <v>18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 t="s">
        <v>110</v>
      </c>
      <c r="J15" t="s">
        <v>110</v>
      </c>
    </row>
    <row r="16" spans="1:10" x14ac:dyDescent="0.25">
      <c r="A16" s="8" t="s">
        <v>24</v>
      </c>
      <c r="B16" t="s">
        <v>12</v>
      </c>
      <c r="C16">
        <v>7</v>
      </c>
      <c r="D16">
        <v>6</v>
      </c>
      <c r="E16">
        <v>6</v>
      </c>
      <c r="F16">
        <v>5</v>
      </c>
      <c r="G16">
        <v>6</v>
      </c>
      <c r="H16">
        <v>6</v>
      </c>
      <c r="I16" t="s">
        <v>110</v>
      </c>
      <c r="J16" t="s">
        <v>110</v>
      </c>
    </row>
    <row r="17" spans="1:10" x14ac:dyDescent="0.25">
      <c r="A17" s="8" t="s">
        <v>22</v>
      </c>
      <c r="B17" t="s">
        <v>9</v>
      </c>
      <c r="C17">
        <v>7</v>
      </c>
      <c r="D17">
        <v>7</v>
      </c>
      <c r="E17">
        <v>7</v>
      </c>
      <c r="F17">
        <v>6</v>
      </c>
      <c r="G17">
        <v>7</v>
      </c>
      <c r="H17">
        <v>7</v>
      </c>
      <c r="I17" t="s">
        <v>110</v>
      </c>
      <c r="J17" t="s">
        <v>110</v>
      </c>
    </row>
    <row r="18" spans="1:10" x14ac:dyDescent="0.25">
      <c r="A18" s="8" t="s">
        <v>22</v>
      </c>
      <c r="B18" t="s">
        <v>12</v>
      </c>
      <c r="C18">
        <v>6</v>
      </c>
      <c r="D18">
        <v>7</v>
      </c>
      <c r="E18">
        <v>7</v>
      </c>
      <c r="F18">
        <v>7</v>
      </c>
      <c r="G18">
        <v>7</v>
      </c>
      <c r="H18">
        <v>7</v>
      </c>
      <c r="I18" t="s">
        <v>110</v>
      </c>
      <c r="J18" t="s">
        <v>110</v>
      </c>
    </row>
    <row r="19" spans="1:10" x14ac:dyDescent="0.25">
      <c r="A19" s="8" t="s">
        <v>22</v>
      </c>
      <c r="B19" t="s">
        <v>18</v>
      </c>
      <c r="C19">
        <v>7</v>
      </c>
      <c r="D19">
        <v>5</v>
      </c>
      <c r="E19">
        <v>7</v>
      </c>
      <c r="F19">
        <v>7</v>
      </c>
      <c r="G19">
        <v>7</v>
      </c>
      <c r="H19">
        <v>7</v>
      </c>
      <c r="I19" t="s">
        <v>117</v>
      </c>
      <c r="J19" t="s">
        <v>117</v>
      </c>
    </row>
    <row r="20" spans="1:10" x14ac:dyDescent="0.25">
      <c r="A20" s="8" t="s">
        <v>24</v>
      </c>
      <c r="B20" t="s">
        <v>18</v>
      </c>
      <c r="C20">
        <v>6</v>
      </c>
      <c r="D20">
        <v>6</v>
      </c>
      <c r="E20">
        <v>6</v>
      </c>
      <c r="F20">
        <v>5</v>
      </c>
      <c r="G20">
        <v>6</v>
      </c>
      <c r="H20">
        <v>6</v>
      </c>
      <c r="I20" t="s">
        <v>117</v>
      </c>
      <c r="J20" t="s">
        <v>117</v>
      </c>
    </row>
    <row r="21" spans="1:10" x14ac:dyDescent="0.25">
      <c r="A21" s="8" t="s">
        <v>24</v>
      </c>
      <c r="B21" t="s">
        <v>9</v>
      </c>
      <c r="C21">
        <v>6</v>
      </c>
      <c r="D21">
        <v>6</v>
      </c>
      <c r="E21">
        <v>5</v>
      </c>
      <c r="F21">
        <v>4</v>
      </c>
      <c r="G21">
        <v>5</v>
      </c>
      <c r="H21">
        <v>6</v>
      </c>
      <c r="I21" t="s">
        <v>118</v>
      </c>
      <c r="J21" t="s">
        <v>118</v>
      </c>
    </row>
    <row r="22" spans="1:10" x14ac:dyDescent="0.25">
      <c r="A22" s="8" t="s">
        <v>25</v>
      </c>
      <c r="B22" t="s">
        <v>12</v>
      </c>
      <c r="C22">
        <v>6</v>
      </c>
      <c r="D22">
        <v>5</v>
      </c>
      <c r="E22">
        <v>6</v>
      </c>
      <c r="F22">
        <v>6</v>
      </c>
      <c r="G22">
        <v>6</v>
      </c>
      <c r="H22">
        <v>6</v>
      </c>
      <c r="I22" t="s">
        <v>118</v>
      </c>
      <c r="J22" t="s">
        <v>118</v>
      </c>
    </row>
    <row r="23" spans="1:10" x14ac:dyDescent="0.25">
      <c r="A23" s="8" t="s">
        <v>26</v>
      </c>
      <c r="B23" t="s">
        <v>18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 t="s">
        <v>119</v>
      </c>
      <c r="J23" t="s">
        <v>119</v>
      </c>
    </row>
    <row r="24" spans="1:10" x14ac:dyDescent="0.25">
      <c r="A24" s="8" t="s">
        <v>26</v>
      </c>
      <c r="B24" t="s">
        <v>12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 t="s">
        <v>119</v>
      </c>
      <c r="J24" t="s">
        <v>119</v>
      </c>
    </row>
    <row r="25" spans="1:10" x14ac:dyDescent="0.25">
      <c r="A25" s="8" t="s">
        <v>26</v>
      </c>
      <c r="B25" t="s">
        <v>14</v>
      </c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 t="s">
        <v>111</v>
      </c>
      <c r="J25" t="s">
        <v>111</v>
      </c>
    </row>
    <row r="26" spans="1:10" x14ac:dyDescent="0.25">
      <c r="A26" s="8" t="s">
        <v>27</v>
      </c>
      <c r="B26" t="s">
        <v>9</v>
      </c>
      <c r="C26">
        <v>7</v>
      </c>
      <c r="D26">
        <v>6</v>
      </c>
      <c r="E26">
        <v>7</v>
      </c>
      <c r="F26">
        <v>6</v>
      </c>
      <c r="G26">
        <v>7</v>
      </c>
      <c r="H26">
        <v>7</v>
      </c>
      <c r="I26" t="s">
        <v>111</v>
      </c>
      <c r="J26" t="s">
        <v>111</v>
      </c>
    </row>
    <row r="27" spans="1:10" x14ac:dyDescent="0.25">
      <c r="A27" s="8" t="s">
        <v>27</v>
      </c>
      <c r="B27" t="s">
        <v>9</v>
      </c>
      <c r="C27">
        <v>7</v>
      </c>
      <c r="D27">
        <v>6</v>
      </c>
      <c r="E27">
        <v>7</v>
      </c>
      <c r="F27">
        <v>6</v>
      </c>
      <c r="G27">
        <v>7</v>
      </c>
      <c r="H27">
        <v>7</v>
      </c>
      <c r="I27" t="s">
        <v>111</v>
      </c>
      <c r="J27" t="s">
        <v>111</v>
      </c>
    </row>
    <row r="28" spans="1:10" x14ac:dyDescent="0.25">
      <c r="A28" s="8" t="s">
        <v>66</v>
      </c>
      <c r="B28" t="s">
        <v>12</v>
      </c>
      <c r="C28">
        <v>5</v>
      </c>
      <c r="D28">
        <v>5</v>
      </c>
      <c r="E28">
        <v>5</v>
      </c>
      <c r="F28">
        <v>5</v>
      </c>
      <c r="G28">
        <v>5</v>
      </c>
      <c r="H28">
        <v>2</v>
      </c>
      <c r="I28" t="s">
        <v>111</v>
      </c>
      <c r="J28" t="s">
        <v>111</v>
      </c>
    </row>
    <row r="29" spans="1:10" x14ac:dyDescent="0.25">
      <c r="A29" s="8" t="s">
        <v>66</v>
      </c>
      <c r="B29" t="s">
        <v>18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 t="s">
        <v>120</v>
      </c>
      <c r="J29" t="s">
        <v>120</v>
      </c>
    </row>
    <row r="30" spans="1:10" x14ac:dyDescent="0.25">
      <c r="A30" s="8" t="s">
        <v>39</v>
      </c>
      <c r="B30" t="s">
        <v>18</v>
      </c>
      <c r="C30">
        <v>6</v>
      </c>
      <c r="D30">
        <v>5</v>
      </c>
      <c r="E30">
        <v>4</v>
      </c>
      <c r="F30">
        <v>5</v>
      </c>
      <c r="G30">
        <v>4</v>
      </c>
      <c r="H30">
        <v>5</v>
      </c>
      <c r="I30" t="s">
        <v>122</v>
      </c>
      <c r="J30" t="s">
        <v>122</v>
      </c>
    </row>
    <row r="31" spans="1:10" x14ac:dyDescent="0.25">
      <c r="A31" s="8" t="s">
        <v>64</v>
      </c>
      <c r="B31" t="s">
        <v>14</v>
      </c>
      <c r="C31">
        <v>4</v>
      </c>
      <c r="D31">
        <v>2</v>
      </c>
      <c r="E31">
        <v>5</v>
      </c>
      <c r="F31">
        <v>2</v>
      </c>
      <c r="G31">
        <v>5</v>
      </c>
      <c r="H31">
        <v>5</v>
      </c>
    </row>
    <row r="32" spans="1:10" x14ac:dyDescent="0.25">
      <c r="A32" s="8" t="s">
        <v>64</v>
      </c>
      <c r="B32" t="s">
        <v>9</v>
      </c>
      <c r="C32">
        <v>1</v>
      </c>
      <c r="D32">
        <v>2</v>
      </c>
      <c r="E32">
        <v>1</v>
      </c>
      <c r="F32">
        <v>2</v>
      </c>
      <c r="G32">
        <v>5</v>
      </c>
      <c r="H32">
        <v>2</v>
      </c>
    </row>
    <row r="33" spans="1:8" x14ac:dyDescent="0.25">
      <c r="A33" s="8" t="s">
        <v>61</v>
      </c>
      <c r="B33" t="s">
        <v>18</v>
      </c>
      <c r="C33">
        <v>5</v>
      </c>
      <c r="D33">
        <v>6</v>
      </c>
      <c r="E33">
        <v>7</v>
      </c>
      <c r="F33">
        <v>5</v>
      </c>
      <c r="G33">
        <v>7</v>
      </c>
      <c r="H33">
        <v>7</v>
      </c>
    </row>
    <row r="34" spans="1:8" x14ac:dyDescent="0.25">
      <c r="A34" s="8" t="s">
        <v>67</v>
      </c>
      <c r="B34" t="s">
        <v>9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</row>
    <row r="35" spans="1:8" x14ac:dyDescent="0.25">
      <c r="A35" s="8" t="s">
        <v>67</v>
      </c>
      <c r="B35" t="s">
        <v>18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</row>
    <row r="36" spans="1:8" x14ac:dyDescent="0.25">
      <c r="A36" s="8" t="s">
        <v>106</v>
      </c>
      <c r="B36" t="s">
        <v>12</v>
      </c>
      <c r="C36">
        <v>6</v>
      </c>
      <c r="D36">
        <v>6</v>
      </c>
      <c r="E36">
        <v>6</v>
      </c>
      <c r="F36">
        <v>6</v>
      </c>
      <c r="G36">
        <v>6</v>
      </c>
      <c r="H36">
        <v>7</v>
      </c>
    </row>
    <row r="37" spans="1:8" x14ac:dyDescent="0.25">
      <c r="A37" s="8" t="s">
        <v>106</v>
      </c>
      <c r="B37" t="s">
        <v>18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</row>
    <row r="38" spans="1:8" x14ac:dyDescent="0.25">
      <c r="A38" s="8" t="s">
        <v>69</v>
      </c>
      <c r="B38" t="s">
        <v>14</v>
      </c>
      <c r="C38">
        <v>6</v>
      </c>
      <c r="D38">
        <v>6</v>
      </c>
      <c r="E38">
        <v>7</v>
      </c>
      <c r="F38">
        <v>6</v>
      </c>
      <c r="G38">
        <v>7</v>
      </c>
      <c r="H38">
        <v>6</v>
      </c>
    </row>
    <row r="39" spans="1:8" x14ac:dyDescent="0.25">
      <c r="A39" s="8" t="s">
        <v>72</v>
      </c>
      <c r="B39" t="s">
        <v>18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</row>
    <row r="40" spans="1:8" x14ac:dyDescent="0.25">
      <c r="A40" s="8" t="s">
        <v>53</v>
      </c>
      <c r="B40" t="s">
        <v>14</v>
      </c>
      <c r="C40">
        <v>6</v>
      </c>
      <c r="D40">
        <v>4</v>
      </c>
      <c r="E40">
        <v>5</v>
      </c>
      <c r="F40">
        <v>6</v>
      </c>
      <c r="G40">
        <v>5</v>
      </c>
      <c r="H40">
        <v>6</v>
      </c>
    </row>
    <row r="41" spans="1:8" x14ac:dyDescent="0.25">
      <c r="A41" s="8" t="s">
        <v>250</v>
      </c>
      <c r="B41" t="s">
        <v>9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</row>
    <row r="42" spans="1:8" x14ac:dyDescent="0.25">
      <c r="A42" s="8" t="s">
        <v>69</v>
      </c>
      <c r="B42" t="s">
        <v>12</v>
      </c>
      <c r="C42">
        <v>6</v>
      </c>
      <c r="D42">
        <v>6</v>
      </c>
      <c r="E42">
        <v>6</v>
      </c>
      <c r="F42">
        <v>5</v>
      </c>
      <c r="G42">
        <v>4</v>
      </c>
      <c r="H42">
        <v>6</v>
      </c>
    </row>
    <row r="43" spans="1:8" x14ac:dyDescent="0.25">
      <c r="A43" s="8" t="s">
        <v>22</v>
      </c>
      <c r="B43" t="s">
        <v>14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</row>
    <row r="44" spans="1:8" x14ac:dyDescent="0.25">
      <c r="A44" s="8" t="s">
        <v>94</v>
      </c>
      <c r="B44" t="s">
        <v>12</v>
      </c>
      <c r="C44">
        <v>6</v>
      </c>
      <c r="D44">
        <v>6</v>
      </c>
      <c r="E44">
        <v>5</v>
      </c>
      <c r="F44">
        <v>5</v>
      </c>
      <c r="G44">
        <v>6</v>
      </c>
      <c r="H44">
        <v>6</v>
      </c>
    </row>
    <row r="45" spans="1:8" x14ac:dyDescent="0.25">
      <c r="A45" s="8" t="s">
        <v>81</v>
      </c>
      <c r="B45" t="s">
        <v>9</v>
      </c>
      <c r="C45">
        <v>5</v>
      </c>
      <c r="D45">
        <v>6</v>
      </c>
      <c r="E45">
        <v>6</v>
      </c>
      <c r="F45">
        <v>6</v>
      </c>
      <c r="G45">
        <v>6</v>
      </c>
      <c r="H45">
        <v>6</v>
      </c>
    </row>
    <row r="46" spans="1:8" x14ac:dyDescent="0.25">
      <c r="A46" s="8" t="s">
        <v>83</v>
      </c>
      <c r="B46" t="s">
        <v>9</v>
      </c>
      <c r="C46">
        <v>7</v>
      </c>
      <c r="D46">
        <v>7</v>
      </c>
      <c r="E46">
        <v>6</v>
      </c>
      <c r="F46">
        <v>6</v>
      </c>
      <c r="G46">
        <v>6</v>
      </c>
      <c r="H46">
        <v>6</v>
      </c>
    </row>
    <row r="47" spans="1:8" x14ac:dyDescent="0.25">
      <c r="A47" s="8" t="s">
        <v>60</v>
      </c>
      <c r="B47" t="s">
        <v>12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</row>
    <row r="48" spans="1:8" x14ac:dyDescent="0.25">
      <c r="A48" s="8" t="s">
        <v>60</v>
      </c>
      <c r="B48" t="s">
        <v>9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</row>
    <row r="49" spans="1:9" x14ac:dyDescent="0.25">
      <c r="A49" s="8" t="s">
        <v>60</v>
      </c>
      <c r="B49" t="s">
        <v>14</v>
      </c>
      <c r="C49">
        <v>6</v>
      </c>
      <c r="D49">
        <v>6</v>
      </c>
      <c r="E49">
        <v>5</v>
      </c>
      <c r="F49">
        <v>6</v>
      </c>
      <c r="G49">
        <v>5</v>
      </c>
      <c r="H49">
        <v>5</v>
      </c>
    </row>
    <row r="50" spans="1:9" x14ac:dyDescent="0.25">
      <c r="A50" s="8" t="s">
        <v>13</v>
      </c>
      <c r="B50" t="s">
        <v>9</v>
      </c>
      <c r="C50">
        <v>5</v>
      </c>
      <c r="D50">
        <v>4</v>
      </c>
      <c r="E50">
        <v>4</v>
      </c>
      <c r="F50">
        <v>5</v>
      </c>
      <c r="G50">
        <v>5</v>
      </c>
      <c r="H50">
        <v>4</v>
      </c>
    </row>
    <row r="51" spans="1:9" x14ac:dyDescent="0.25">
      <c r="A51" s="8" t="s">
        <v>75</v>
      </c>
      <c r="B51" t="s">
        <v>12</v>
      </c>
      <c r="C51">
        <v>6</v>
      </c>
      <c r="D51">
        <v>6</v>
      </c>
      <c r="E51">
        <v>4</v>
      </c>
      <c r="F51">
        <v>4</v>
      </c>
      <c r="G51">
        <v>6</v>
      </c>
      <c r="H51">
        <v>6</v>
      </c>
    </row>
    <row r="52" spans="1:9" x14ac:dyDescent="0.25">
      <c r="A52" s="8" t="s">
        <v>70</v>
      </c>
      <c r="B52" t="s">
        <v>12</v>
      </c>
      <c r="C52">
        <v>6</v>
      </c>
      <c r="D52">
        <v>7</v>
      </c>
      <c r="E52">
        <v>6</v>
      </c>
      <c r="F52">
        <v>5</v>
      </c>
      <c r="G52">
        <v>7</v>
      </c>
      <c r="H52">
        <v>6</v>
      </c>
    </row>
    <row r="53" spans="1:9" x14ac:dyDescent="0.25">
      <c r="A53" s="8" t="s">
        <v>70</v>
      </c>
      <c r="B53" t="s">
        <v>18</v>
      </c>
      <c r="C53">
        <v>7</v>
      </c>
      <c r="D53">
        <v>7</v>
      </c>
      <c r="E53">
        <v>6</v>
      </c>
      <c r="F53">
        <v>6</v>
      </c>
      <c r="G53">
        <v>7</v>
      </c>
      <c r="H53">
        <v>6</v>
      </c>
    </row>
    <row r="54" spans="1:9" x14ac:dyDescent="0.25">
      <c r="A54" s="8" t="s">
        <v>57</v>
      </c>
      <c r="B54" t="s">
        <v>14</v>
      </c>
      <c r="C54">
        <v>5</v>
      </c>
      <c r="D54">
        <v>6</v>
      </c>
      <c r="E54">
        <v>5</v>
      </c>
      <c r="F54">
        <v>6</v>
      </c>
      <c r="G54">
        <v>6</v>
      </c>
      <c r="H54">
        <v>6</v>
      </c>
    </row>
    <row r="55" spans="1:9" x14ac:dyDescent="0.25">
      <c r="A55" s="8" t="s">
        <v>102</v>
      </c>
      <c r="B55" t="s">
        <v>12</v>
      </c>
      <c r="C55">
        <v>5</v>
      </c>
      <c r="D55">
        <v>6</v>
      </c>
      <c r="E55">
        <v>4</v>
      </c>
      <c r="F55">
        <v>4</v>
      </c>
      <c r="G55">
        <v>5</v>
      </c>
      <c r="H55">
        <v>4</v>
      </c>
    </row>
    <row r="56" spans="1:9" x14ac:dyDescent="0.25">
      <c r="A56" s="8" t="s">
        <v>48</v>
      </c>
      <c r="B56" t="s">
        <v>12</v>
      </c>
      <c r="C56">
        <v>2</v>
      </c>
      <c r="D56">
        <v>6</v>
      </c>
      <c r="E56">
        <v>6</v>
      </c>
      <c r="F56">
        <v>6</v>
      </c>
      <c r="G56">
        <v>5</v>
      </c>
      <c r="H56">
        <v>6</v>
      </c>
    </row>
    <row r="57" spans="1:9" x14ac:dyDescent="0.25">
      <c r="A57" s="8" t="s">
        <v>55</v>
      </c>
      <c r="B57" t="s">
        <v>14</v>
      </c>
      <c r="C57">
        <v>7</v>
      </c>
      <c r="D57">
        <v>7</v>
      </c>
      <c r="E57">
        <v>6</v>
      </c>
      <c r="F57">
        <v>6</v>
      </c>
      <c r="G57">
        <v>4</v>
      </c>
      <c r="H57">
        <v>6</v>
      </c>
    </row>
    <row r="58" spans="1:9" x14ac:dyDescent="0.25">
      <c r="A58" s="8" t="s">
        <v>72</v>
      </c>
      <c r="B58" t="s">
        <v>18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</row>
    <row r="59" spans="1:9" x14ac:dyDescent="0.25">
      <c r="A59" s="8" t="s">
        <v>43</v>
      </c>
      <c r="B59" t="s">
        <v>12</v>
      </c>
      <c r="C59">
        <v>4</v>
      </c>
      <c r="D59">
        <v>5</v>
      </c>
      <c r="E59">
        <v>4</v>
      </c>
      <c r="F59">
        <v>4</v>
      </c>
      <c r="G59">
        <v>4</v>
      </c>
      <c r="H59">
        <v>4</v>
      </c>
    </row>
    <row r="60" spans="1:9" x14ac:dyDescent="0.25">
      <c r="A60" s="8" t="s">
        <v>41</v>
      </c>
      <c r="B60" t="s">
        <v>12</v>
      </c>
      <c r="C60">
        <v>6</v>
      </c>
      <c r="D60">
        <v>6</v>
      </c>
      <c r="E60">
        <v>7</v>
      </c>
      <c r="F60">
        <v>4</v>
      </c>
      <c r="G60">
        <v>7</v>
      </c>
      <c r="H60">
        <v>6</v>
      </c>
    </row>
    <row r="61" spans="1:9" x14ac:dyDescent="0.25">
      <c r="A61" s="8" t="s">
        <v>133</v>
      </c>
      <c r="B61" s="1"/>
      <c r="C61" s="1">
        <f>SUBTOTAL(101,Seguimiento[Preguntas Ejecución y Monitoreo.1. La entidad presentó los reportes de avance dentro de los plazos establecidos.])</f>
        <v>5.7288135593220337</v>
      </c>
      <c r="D61" s="1">
        <f>SUBTOTAL(101,Seguimiento[Preguntas Ejecución y Monitoreo.2.. La información contenida en los reportes fue clara y completa.])</f>
        <v>5.8474576271186445</v>
      </c>
      <c r="E61" s="1">
        <f>SUBTOTAL(101,Seguimiento[Preguntas Ejecución y Monitoreo.3. El soporte técnico brindado por la entidad permitió resolver oportunamente las incidencias del proyecto.])</f>
        <v>5.6779661016949152</v>
      </c>
      <c r="F61" s="1">
        <f>SUBTOTAL(101,Seguimiento[Preguntas Ejecución y Monitoreo.4. La entidad gestionó de manera proactiva los riesgos y desvíos identificados.])</f>
        <v>5.3898305084745761</v>
      </c>
      <c r="G61" s="1">
        <f>SUBTOTAL(101,Seguimiento[Preguntas Ejecución y Monitoreo.5. La comunicación de la entidad con el equipo técnico de Corfo fue fluida y eficiente])</f>
        <v>5.6610169491525424</v>
      </c>
      <c r="H61" s="1">
        <f>SUBTOTAL(101,Seguimiento[Preguntas Ejecución y Monitoreo.6. En general, la calidad de la supervisión y monitoreo de la ejecución por parte de la entidad fue satisfactoria.])</f>
        <v>5.6610169491525424</v>
      </c>
      <c r="I6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8C53-57E6-4344-9479-61579410C973}">
  <dimension ref="A1:F145"/>
  <sheetViews>
    <sheetView topLeftCell="A93" workbookViewId="0">
      <selection activeCell="A144" sqref="A144"/>
    </sheetView>
  </sheetViews>
  <sheetFormatPr baseColWidth="10" defaultRowHeight="15" x14ac:dyDescent="0.25"/>
  <sheetData>
    <row r="1" spans="1:6" x14ac:dyDescent="0.25">
      <c r="A1" t="s">
        <v>146</v>
      </c>
      <c r="B1" t="s">
        <v>147</v>
      </c>
      <c r="C1" t="s">
        <v>28</v>
      </c>
      <c r="D1" t="s">
        <v>148</v>
      </c>
      <c r="E1" t="s">
        <v>149</v>
      </c>
      <c r="F1" t="s">
        <v>150</v>
      </c>
    </row>
    <row r="2" spans="1:6" x14ac:dyDescent="0.25">
      <c r="A2" t="s">
        <v>36</v>
      </c>
      <c r="B2" t="s">
        <v>151</v>
      </c>
      <c r="C2" t="s">
        <v>14</v>
      </c>
      <c r="D2" t="s">
        <v>132</v>
      </c>
      <c r="E2" t="s">
        <v>152</v>
      </c>
      <c r="F2" t="s">
        <v>247</v>
      </c>
    </row>
    <row r="3" spans="1:6" x14ac:dyDescent="0.25">
      <c r="A3" t="s">
        <v>51</v>
      </c>
      <c r="B3" t="s">
        <v>153</v>
      </c>
      <c r="C3" t="s">
        <v>12</v>
      </c>
      <c r="D3" t="s">
        <v>132</v>
      </c>
      <c r="E3" t="s">
        <v>154</v>
      </c>
      <c r="F3" t="s">
        <v>248</v>
      </c>
    </row>
    <row r="4" spans="1:6" x14ac:dyDescent="0.25">
      <c r="A4" t="s">
        <v>64</v>
      </c>
      <c r="B4" t="s">
        <v>155</v>
      </c>
      <c r="C4" t="s">
        <v>9</v>
      </c>
      <c r="D4" t="s">
        <v>132</v>
      </c>
      <c r="E4" t="s">
        <v>156</v>
      </c>
      <c r="F4" t="s">
        <v>248</v>
      </c>
    </row>
    <row r="5" spans="1:6" x14ac:dyDescent="0.25">
      <c r="A5" t="s">
        <v>20</v>
      </c>
      <c r="B5" t="s">
        <v>157</v>
      </c>
      <c r="C5" t="s">
        <v>18</v>
      </c>
      <c r="D5" t="s">
        <v>132</v>
      </c>
      <c r="E5" t="s">
        <v>158</v>
      </c>
      <c r="F5" t="s">
        <v>247</v>
      </c>
    </row>
    <row r="6" spans="1:6" x14ac:dyDescent="0.25">
      <c r="A6" t="s">
        <v>72</v>
      </c>
      <c r="B6" t="s">
        <v>159</v>
      </c>
      <c r="C6" t="s">
        <v>14</v>
      </c>
      <c r="D6" t="s">
        <v>132</v>
      </c>
      <c r="E6" t="s">
        <v>152</v>
      </c>
      <c r="F6" t="s">
        <v>247</v>
      </c>
    </row>
    <row r="7" spans="1:6" x14ac:dyDescent="0.25">
      <c r="A7" t="s">
        <v>72</v>
      </c>
      <c r="B7" t="s">
        <v>159</v>
      </c>
      <c r="C7" t="s">
        <v>9</v>
      </c>
      <c r="D7" t="s">
        <v>132</v>
      </c>
      <c r="E7" t="s">
        <v>156</v>
      </c>
      <c r="F7" t="s">
        <v>247</v>
      </c>
    </row>
    <row r="8" spans="1:6" x14ac:dyDescent="0.25">
      <c r="A8" t="s">
        <v>72</v>
      </c>
      <c r="B8" t="s">
        <v>159</v>
      </c>
      <c r="C8" t="s">
        <v>18</v>
      </c>
      <c r="D8" t="s">
        <v>132</v>
      </c>
      <c r="E8" t="s">
        <v>158</v>
      </c>
      <c r="F8" t="s">
        <v>247</v>
      </c>
    </row>
    <row r="9" spans="1:6" x14ac:dyDescent="0.25">
      <c r="A9" t="s">
        <v>145</v>
      </c>
      <c r="B9" t="s">
        <v>160</v>
      </c>
      <c r="C9" t="s">
        <v>9</v>
      </c>
      <c r="D9" t="s">
        <v>132</v>
      </c>
      <c r="E9" t="s">
        <v>156</v>
      </c>
      <c r="F9" t="s">
        <v>247</v>
      </c>
    </row>
    <row r="10" spans="1:6" x14ac:dyDescent="0.25">
      <c r="A10" t="s">
        <v>145</v>
      </c>
      <c r="B10" t="s">
        <v>160</v>
      </c>
      <c r="C10" t="s">
        <v>18</v>
      </c>
      <c r="D10" t="s">
        <v>132</v>
      </c>
      <c r="E10" t="s">
        <v>158</v>
      </c>
      <c r="F10" t="s">
        <v>247</v>
      </c>
    </row>
    <row r="11" spans="1:6" x14ac:dyDescent="0.25">
      <c r="A11" t="s">
        <v>89</v>
      </c>
      <c r="B11" t="s">
        <v>161</v>
      </c>
      <c r="C11" t="s">
        <v>18</v>
      </c>
      <c r="D11" t="s">
        <v>132</v>
      </c>
      <c r="E11" t="s">
        <v>158</v>
      </c>
      <c r="F11" t="s">
        <v>247</v>
      </c>
    </row>
    <row r="12" spans="1:6" x14ac:dyDescent="0.25">
      <c r="A12" t="s">
        <v>143</v>
      </c>
      <c r="B12" t="s">
        <v>162</v>
      </c>
      <c r="C12" t="s">
        <v>12</v>
      </c>
      <c r="D12" t="s">
        <v>132</v>
      </c>
      <c r="E12" t="s">
        <v>154</v>
      </c>
      <c r="F12" t="s">
        <v>247</v>
      </c>
    </row>
    <row r="13" spans="1:6" x14ac:dyDescent="0.25">
      <c r="A13" t="s">
        <v>107</v>
      </c>
      <c r="B13" t="s">
        <v>163</v>
      </c>
      <c r="C13" t="s">
        <v>14</v>
      </c>
      <c r="D13" t="s">
        <v>132</v>
      </c>
      <c r="E13" s="12" t="s">
        <v>152</v>
      </c>
      <c r="F13" t="s">
        <v>248</v>
      </c>
    </row>
    <row r="14" spans="1:6" x14ac:dyDescent="0.25">
      <c r="A14" t="s">
        <v>144</v>
      </c>
      <c r="B14" t="s">
        <v>164</v>
      </c>
      <c r="C14" t="s">
        <v>18</v>
      </c>
      <c r="D14" t="s">
        <v>132</v>
      </c>
      <c r="E14" t="s">
        <v>158</v>
      </c>
      <c r="F14" t="s">
        <v>247</v>
      </c>
    </row>
    <row r="15" spans="1:6" x14ac:dyDescent="0.25">
      <c r="A15" t="s">
        <v>144</v>
      </c>
      <c r="B15" t="s">
        <v>164</v>
      </c>
      <c r="C15" t="s">
        <v>9</v>
      </c>
      <c r="D15" t="s">
        <v>132</v>
      </c>
      <c r="E15" t="s">
        <v>156</v>
      </c>
      <c r="F15" t="s">
        <v>247</v>
      </c>
    </row>
    <row r="16" spans="1:6" x14ac:dyDescent="0.25">
      <c r="A16" t="s">
        <v>144</v>
      </c>
      <c r="B16" t="s">
        <v>164</v>
      </c>
      <c r="C16" t="s">
        <v>12</v>
      </c>
      <c r="D16" t="s">
        <v>132</v>
      </c>
      <c r="E16" t="s">
        <v>154</v>
      </c>
      <c r="F16" t="s">
        <v>247</v>
      </c>
    </row>
    <row r="17" spans="1:6" x14ac:dyDescent="0.25">
      <c r="A17" t="s">
        <v>144</v>
      </c>
      <c r="B17" t="s">
        <v>164</v>
      </c>
      <c r="C17" t="s">
        <v>14</v>
      </c>
      <c r="D17" t="s">
        <v>132</v>
      </c>
      <c r="E17" t="s">
        <v>152</v>
      </c>
      <c r="F17" t="s">
        <v>247</v>
      </c>
    </row>
    <row r="18" spans="1:6" x14ac:dyDescent="0.25">
      <c r="A18" t="s">
        <v>165</v>
      </c>
      <c r="B18" t="s">
        <v>166</v>
      </c>
      <c r="C18" t="s">
        <v>18</v>
      </c>
      <c r="D18" t="s">
        <v>167</v>
      </c>
      <c r="E18" t="s">
        <v>168</v>
      </c>
      <c r="F18" t="s">
        <v>248</v>
      </c>
    </row>
    <row r="19" spans="1:6" x14ac:dyDescent="0.25">
      <c r="A19" t="s">
        <v>165</v>
      </c>
      <c r="B19" t="s">
        <v>166</v>
      </c>
      <c r="C19" t="s">
        <v>9</v>
      </c>
      <c r="D19" t="s">
        <v>167</v>
      </c>
      <c r="E19" t="s">
        <v>169</v>
      </c>
      <c r="F19" t="s">
        <v>248</v>
      </c>
    </row>
    <row r="20" spans="1:6" x14ac:dyDescent="0.25">
      <c r="A20" t="s">
        <v>165</v>
      </c>
      <c r="B20" t="s">
        <v>166</v>
      </c>
      <c r="C20" t="s">
        <v>12</v>
      </c>
      <c r="D20" t="s">
        <v>167</v>
      </c>
      <c r="E20" t="s">
        <v>170</v>
      </c>
      <c r="F20" t="s">
        <v>248</v>
      </c>
    </row>
    <row r="21" spans="1:6" x14ac:dyDescent="0.25">
      <c r="A21" t="s">
        <v>165</v>
      </c>
      <c r="B21" t="s">
        <v>166</v>
      </c>
      <c r="C21" t="s">
        <v>14</v>
      </c>
      <c r="D21" t="s">
        <v>167</v>
      </c>
      <c r="E21" t="s">
        <v>171</v>
      </c>
      <c r="F21" t="s">
        <v>248</v>
      </c>
    </row>
    <row r="22" spans="1:6" x14ac:dyDescent="0.25">
      <c r="A22" t="s">
        <v>41</v>
      </c>
      <c r="B22" t="s">
        <v>172</v>
      </c>
      <c r="C22" t="s">
        <v>12</v>
      </c>
      <c r="D22" t="s">
        <v>173</v>
      </c>
      <c r="E22" t="s">
        <v>174</v>
      </c>
      <c r="F22" t="s">
        <v>248</v>
      </c>
    </row>
    <row r="23" spans="1:6" x14ac:dyDescent="0.25">
      <c r="A23" t="s">
        <v>43</v>
      </c>
      <c r="B23" t="s">
        <v>175</v>
      </c>
      <c r="C23" t="s">
        <v>12</v>
      </c>
      <c r="D23" t="s">
        <v>173</v>
      </c>
      <c r="E23" t="s">
        <v>174</v>
      </c>
      <c r="F23" t="s">
        <v>248</v>
      </c>
    </row>
    <row r="24" spans="1:6" x14ac:dyDescent="0.25">
      <c r="A24" t="s">
        <v>46</v>
      </c>
      <c r="B24" t="s">
        <v>176</v>
      </c>
      <c r="C24" t="s">
        <v>12</v>
      </c>
      <c r="D24" t="s">
        <v>173</v>
      </c>
      <c r="E24" t="s">
        <v>174</v>
      </c>
      <c r="F24" t="s">
        <v>248</v>
      </c>
    </row>
    <row r="25" spans="1:6" x14ac:dyDescent="0.25">
      <c r="A25" t="s">
        <v>49</v>
      </c>
      <c r="B25" t="s">
        <v>177</v>
      </c>
      <c r="C25" t="s">
        <v>14</v>
      </c>
      <c r="D25" t="s">
        <v>173</v>
      </c>
      <c r="E25" t="s">
        <v>178</v>
      </c>
      <c r="F25" t="s">
        <v>248</v>
      </c>
    </row>
    <row r="26" spans="1:6" x14ac:dyDescent="0.25">
      <c r="A26" t="s">
        <v>48</v>
      </c>
      <c r="B26" t="s">
        <v>179</v>
      </c>
      <c r="C26" t="s">
        <v>12</v>
      </c>
      <c r="D26" t="s">
        <v>173</v>
      </c>
      <c r="E26" t="s">
        <v>174</v>
      </c>
      <c r="F26" t="s">
        <v>247</v>
      </c>
    </row>
    <row r="27" spans="1:6" x14ac:dyDescent="0.25">
      <c r="A27" t="s">
        <v>50</v>
      </c>
      <c r="B27" t="s">
        <v>180</v>
      </c>
      <c r="C27" t="s">
        <v>12</v>
      </c>
      <c r="D27" t="s">
        <v>173</v>
      </c>
      <c r="E27" t="s">
        <v>174</v>
      </c>
      <c r="F27" t="s">
        <v>248</v>
      </c>
    </row>
    <row r="28" spans="1:6" x14ac:dyDescent="0.25">
      <c r="A28" t="s">
        <v>53</v>
      </c>
      <c r="B28" t="s">
        <v>181</v>
      </c>
      <c r="C28" t="s">
        <v>14</v>
      </c>
      <c r="D28" t="s">
        <v>173</v>
      </c>
      <c r="E28" t="s">
        <v>178</v>
      </c>
      <c r="F28" t="s">
        <v>247</v>
      </c>
    </row>
    <row r="29" spans="1:6" x14ac:dyDescent="0.25">
      <c r="A29" t="s">
        <v>54</v>
      </c>
      <c r="B29" t="s">
        <v>182</v>
      </c>
      <c r="C29" t="s">
        <v>14</v>
      </c>
      <c r="D29" t="s">
        <v>173</v>
      </c>
      <c r="E29" t="s">
        <v>178</v>
      </c>
      <c r="F29" t="s">
        <v>248</v>
      </c>
    </row>
    <row r="30" spans="1:6" x14ac:dyDescent="0.25">
      <c r="A30" t="s">
        <v>55</v>
      </c>
      <c r="B30" t="s">
        <v>183</v>
      </c>
      <c r="C30" t="s">
        <v>14</v>
      </c>
      <c r="D30" t="s">
        <v>173</v>
      </c>
      <c r="E30" t="s">
        <v>178</v>
      </c>
      <c r="F30" t="s">
        <v>247</v>
      </c>
    </row>
    <row r="31" spans="1:6" x14ac:dyDescent="0.25">
      <c r="A31" t="s">
        <v>52</v>
      </c>
      <c r="B31" t="s">
        <v>184</v>
      </c>
      <c r="C31" t="s">
        <v>12</v>
      </c>
      <c r="D31" t="s">
        <v>173</v>
      </c>
      <c r="E31" t="s">
        <v>174</v>
      </c>
      <c r="F31" t="s">
        <v>248</v>
      </c>
    </row>
    <row r="32" spans="1:6" x14ac:dyDescent="0.25">
      <c r="A32" t="s">
        <v>38</v>
      </c>
      <c r="B32" t="s">
        <v>185</v>
      </c>
      <c r="C32" t="s">
        <v>14</v>
      </c>
      <c r="D32" t="s">
        <v>173</v>
      </c>
      <c r="E32" t="s">
        <v>178</v>
      </c>
      <c r="F32" t="s">
        <v>248</v>
      </c>
    </row>
    <row r="33" spans="1:6" x14ac:dyDescent="0.25">
      <c r="A33" t="s">
        <v>57</v>
      </c>
      <c r="B33" t="s">
        <v>186</v>
      </c>
      <c r="C33" t="s">
        <v>14</v>
      </c>
      <c r="D33" t="s">
        <v>173</v>
      </c>
      <c r="E33" t="s">
        <v>178</v>
      </c>
      <c r="F33" t="s">
        <v>247</v>
      </c>
    </row>
    <row r="34" spans="1:6" x14ac:dyDescent="0.25">
      <c r="A34" t="s">
        <v>60</v>
      </c>
      <c r="B34" t="s">
        <v>187</v>
      </c>
      <c r="C34" t="s">
        <v>14</v>
      </c>
      <c r="D34" t="s">
        <v>173</v>
      </c>
      <c r="E34" t="s">
        <v>178</v>
      </c>
      <c r="F34" t="s">
        <v>247</v>
      </c>
    </row>
    <row r="35" spans="1:6" x14ac:dyDescent="0.25">
      <c r="A35" t="s">
        <v>60</v>
      </c>
      <c r="B35" t="s">
        <v>187</v>
      </c>
      <c r="C35" t="s">
        <v>9</v>
      </c>
      <c r="D35" t="s">
        <v>173</v>
      </c>
      <c r="E35" t="s">
        <v>188</v>
      </c>
      <c r="F35" t="s">
        <v>247</v>
      </c>
    </row>
    <row r="36" spans="1:6" x14ac:dyDescent="0.25">
      <c r="A36" t="s">
        <v>38</v>
      </c>
      <c r="B36" t="s">
        <v>185</v>
      </c>
      <c r="C36" t="s">
        <v>12</v>
      </c>
      <c r="D36" t="s">
        <v>173</v>
      </c>
      <c r="E36" t="s">
        <v>174</v>
      </c>
      <c r="F36" t="s">
        <v>248</v>
      </c>
    </row>
    <row r="37" spans="1:6" x14ac:dyDescent="0.25">
      <c r="A37" t="s">
        <v>58</v>
      </c>
      <c r="B37" t="s">
        <v>189</v>
      </c>
      <c r="C37" t="s">
        <v>12</v>
      </c>
      <c r="D37" t="s">
        <v>173</v>
      </c>
      <c r="E37" t="s">
        <v>174</v>
      </c>
      <c r="F37" t="s">
        <v>248</v>
      </c>
    </row>
    <row r="38" spans="1:6" x14ac:dyDescent="0.25">
      <c r="A38" t="s">
        <v>60</v>
      </c>
      <c r="B38" t="s">
        <v>187</v>
      </c>
      <c r="C38" t="s">
        <v>12</v>
      </c>
      <c r="D38" t="s">
        <v>173</v>
      </c>
      <c r="E38" t="s">
        <v>174</v>
      </c>
      <c r="F38" t="s">
        <v>247</v>
      </c>
    </row>
    <row r="39" spans="1:6" x14ac:dyDescent="0.25">
      <c r="A39" t="s">
        <v>58</v>
      </c>
      <c r="B39" t="s">
        <v>189</v>
      </c>
      <c r="C39" t="s">
        <v>18</v>
      </c>
      <c r="D39" t="s">
        <v>173</v>
      </c>
      <c r="E39" t="s">
        <v>190</v>
      </c>
      <c r="F39" t="s">
        <v>248</v>
      </c>
    </row>
    <row r="40" spans="1:6" x14ac:dyDescent="0.25">
      <c r="A40" t="s">
        <v>22</v>
      </c>
      <c r="B40" t="s">
        <v>191</v>
      </c>
      <c r="C40" t="s">
        <v>14</v>
      </c>
      <c r="D40" t="s">
        <v>173</v>
      </c>
      <c r="E40" t="s">
        <v>178</v>
      </c>
      <c r="F40" t="s">
        <v>247</v>
      </c>
    </row>
    <row r="41" spans="1:6" x14ac:dyDescent="0.25">
      <c r="A41" t="s">
        <v>66</v>
      </c>
      <c r="B41" t="s">
        <v>192</v>
      </c>
      <c r="C41" t="s">
        <v>14</v>
      </c>
      <c r="D41" t="s">
        <v>173</v>
      </c>
      <c r="E41" t="s">
        <v>178</v>
      </c>
      <c r="F41" t="s">
        <v>248</v>
      </c>
    </row>
    <row r="42" spans="1:6" x14ac:dyDescent="0.25">
      <c r="A42" t="s">
        <v>63</v>
      </c>
      <c r="B42" t="s">
        <v>193</v>
      </c>
      <c r="C42" t="s">
        <v>9</v>
      </c>
      <c r="D42" t="s">
        <v>173</v>
      </c>
      <c r="E42" t="s">
        <v>188</v>
      </c>
      <c r="F42" t="s">
        <v>248</v>
      </c>
    </row>
    <row r="43" spans="1:6" x14ac:dyDescent="0.25">
      <c r="A43" t="s">
        <v>65</v>
      </c>
      <c r="B43" t="s">
        <v>194</v>
      </c>
      <c r="C43" t="s">
        <v>9</v>
      </c>
      <c r="D43" t="s">
        <v>173</v>
      </c>
      <c r="E43" t="s">
        <v>188</v>
      </c>
      <c r="F43" t="s">
        <v>248</v>
      </c>
    </row>
    <row r="44" spans="1:6" x14ac:dyDescent="0.25">
      <c r="A44" t="s">
        <v>66</v>
      </c>
      <c r="B44" t="s">
        <v>192</v>
      </c>
      <c r="C44" t="s">
        <v>9</v>
      </c>
      <c r="D44" t="s">
        <v>173</v>
      </c>
      <c r="E44" t="s">
        <v>188</v>
      </c>
      <c r="F44" t="s">
        <v>248</v>
      </c>
    </row>
    <row r="45" spans="1:6" x14ac:dyDescent="0.25">
      <c r="A45" t="s">
        <v>67</v>
      </c>
      <c r="B45" t="s">
        <v>195</v>
      </c>
      <c r="C45" t="s">
        <v>9</v>
      </c>
      <c r="D45" t="s">
        <v>173</v>
      </c>
      <c r="E45" t="s">
        <v>188</v>
      </c>
      <c r="F45" t="s">
        <v>247</v>
      </c>
    </row>
    <row r="46" spans="1:6" x14ac:dyDescent="0.25">
      <c r="A46" t="s">
        <v>39</v>
      </c>
      <c r="B46" t="s">
        <v>196</v>
      </c>
      <c r="C46" t="s">
        <v>12</v>
      </c>
      <c r="D46" t="s">
        <v>173</v>
      </c>
      <c r="E46" t="s">
        <v>174</v>
      </c>
      <c r="F46" t="s">
        <v>248</v>
      </c>
    </row>
    <row r="47" spans="1:6" x14ac:dyDescent="0.25">
      <c r="A47" t="s">
        <v>62</v>
      </c>
      <c r="B47" t="s">
        <v>197</v>
      </c>
      <c r="C47" t="s">
        <v>12</v>
      </c>
      <c r="D47" t="s">
        <v>173</v>
      </c>
      <c r="E47" t="s">
        <v>174</v>
      </c>
      <c r="F47" t="s">
        <v>248</v>
      </c>
    </row>
    <row r="48" spans="1:6" x14ac:dyDescent="0.25">
      <c r="A48" t="s">
        <v>63</v>
      </c>
      <c r="B48" t="s">
        <v>193</v>
      </c>
      <c r="C48" t="s">
        <v>12</v>
      </c>
      <c r="D48" t="s">
        <v>173</v>
      </c>
      <c r="E48" t="s">
        <v>174</v>
      </c>
      <c r="F48" t="s">
        <v>248</v>
      </c>
    </row>
    <row r="49" spans="1:6" x14ac:dyDescent="0.25">
      <c r="A49" t="s">
        <v>64</v>
      </c>
      <c r="B49" t="s">
        <v>155</v>
      </c>
      <c r="C49" t="s">
        <v>12</v>
      </c>
      <c r="D49" t="s">
        <v>173</v>
      </c>
      <c r="E49" t="s">
        <v>174</v>
      </c>
      <c r="F49" t="s">
        <v>248</v>
      </c>
    </row>
    <row r="50" spans="1:6" x14ac:dyDescent="0.25">
      <c r="A50" t="s">
        <v>65</v>
      </c>
      <c r="B50" t="s">
        <v>194</v>
      </c>
      <c r="C50" t="s">
        <v>12</v>
      </c>
      <c r="D50" t="s">
        <v>173</v>
      </c>
      <c r="E50" t="s">
        <v>174</v>
      </c>
      <c r="F50" t="s">
        <v>248</v>
      </c>
    </row>
    <row r="51" spans="1:6" x14ac:dyDescent="0.25">
      <c r="A51" t="s">
        <v>63</v>
      </c>
      <c r="B51" t="s">
        <v>193</v>
      </c>
      <c r="C51" t="s">
        <v>18</v>
      </c>
      <c r="D51" t="s">
        <v>173</v>
      </c>
      <c r="E51" t="s">
        <v>190</v>
      </c>
      <c r="F51" t="s">
        <v>248</v>
      </c>
    </row>
    <row r="52" spans="1:6" x14ac:dyDescent="0.25">
      <c r="A52" t="s">
        <v>64</v>
      </c>
      <c r="B52" t="s">
        <v>155</v>
      </c>
      <c r="C52" t="s">
        <v>18</v>
      </c>
      <c r="D52" t="s">
        <v>173</v>
      </c>
      <c r="E52" t="s">
        <v>190</v>
      </c>
      <c r="F52" t="s">
        <v>248</v>
      </c>
    </row>
    <row r="53" spans="1:6" x14ac:dyDescent="0.25">
      <c r="A53" t="s">
        <v>65</v>
      </c>
      <c r="B53" t="s">
        <v>194</v>
      </c>
      <c r="C53" t="s">
        <v>18</v>
      </c>
      <c r="D53" t="s">
        <v>173</v>
      </c>
      <c r="E53" t="s">
        <v>190</v>
      </c>
      <c r="F53" t="s">
        <v>248</v>
      </c>
    </row>
    <row r="54" spans="1:6" x14ac:dyDescent="0.25">
      <c r="A54" t="s">
        <v>67</v>
      </c>
      <c r="B54" t="s">
        <v>195</v>
      </c>
      <c r="C54" t="s">
        <v>18</v>
      </c>
      <c r="D54" t="s">
        <v>173</v>
      </c>
      <c r="E54" t="s">
        <v>190</v>
      </c>
      <c r="F54" t="s">
        <v>247</v>
      </c>
    </row>
    <row r="55" spans="1:6" x14ac:dyDescent="0.25">
      <c r="A55" t="s">
        <v>69</v>
      </c>
      <c r="B55" t="s">
        <v>198</v>
      </c>
      <c r="C55" t="s">
        <v>14</v>
      </c>
      <c r="D55" t="s">
        <v>173</v>
      </c>
      <c r="E55" t="s">
        <v>178</v>
      </c>
      <c r="F55" t="s">
        <v>247</v>
      </c>
    </row>
    <row r="56" spans="1:6" x14ac:dyDescent="0.25">
      <c r="A56" t="s">
        <v>68</v>
      </c>
      <c r="B56" t="s">
        <v>199</v>
      </c>
      <c r="C56" t="s">
        <v>12</v>
      </c>
      <c r="D56" t="s">
        <v>173</v>
      </c>
      <c r="E56" t="s">
        <v>174</v>
      </c>
      <c r="F56" t="s">
        <v>248</v>
      </c>
    </row>
    <row r="57" spans="1:6" x14ac:dyDescent="0.25">
      <c r="A57" t="s">
        <v>69</v>
      </c>
      <c r="B57" t="s">
        <v>198</v>
      </c>
      <c r="C57" t="s">
        <v>12</v>
      </c>
      <c r="D57" t="s">
        <v>173</v>
      </c>
      <c r="E57" t="s">
        <v>174</v>
      </c>
      <c r="F57" t="s">
        <v>247</v>
      </c>
    </row>
    <row r="58" spans="1:6" x14ac:dyDescent="0.25">
      <c r="A58" t="s">
        <v>70</v>
      </c>
      <c r="B58" t="s">
        <v>200</v>
      </c>
      <c r="C58" t="s">
        <v>12</v>
      </c>
      <c r="D58" t="s">
        <v>173</v>
      </c>
      <c r="E58" t="s">
        <v>174</v>
      </c>
      <c r="F58" t="s">
        <v>247</v>
      </c>
    </row>
    <row r="59" spans="1:6" x14ac:dyDescent="0.25">
      <c r="A59" t="s">
        <v>70</v>
      </c>
      <c r="B59" t="s">
        <v>200</v>
      </c>
      <c r="C59" t="s">
        <v>18</v>
      </c>
      <c r="D59" t="s">
        <v>173</v>
      </c>
      <c r="E59" t="s">
        <v>190</v>
      </c>
      <c r="F59" t="s">
        <v>247</v>
      </c>
    </row>
    <row r="60" spans="1:6" x14ac:dyDescent="0.25">
      <c r="A60" t="s">
        <v>13</v>
      </c>
      <c r="B60" t="s">
        <v>201</v>
      </c>
      <c r="C60" t="s">
        <v>9</v>
      </c>
      <c r="D60" t="s">
        <v>173</v>
      </c>
      <c r="E60" t="s">
        <v>188</v>
      </c>
      <c r="F60" t="s">
        <v>247</v>
      </c>
    </row>
    <row r="61" spans="1:6" x14ac:dyDescent="0.25">
      <c r="A61" t="s">
        <v>74</v>
      </c>
      <c r="B61" t="s">
        <v>202</v>
      </c>
      <c r="C61" t="s">
        <v>9</v>
      </c>
      <c r="D61" t="s">
        <v>173</v>
      </c>
      <c r="E61" t="s">
        <v>188</v>
      </c>
      <c r="F61" t="s">
        <v>248</v>
      </c>
    </row>
    <row r="62" spans="1:6" x14ac:dyDescent="0.25">
      <c r="A62" t="s">
        <v>75</v>
      </c>
      <c r="B62" t="s">
        <v>203</v>
      </c>
      <c r="C62" t="s">
        <v>12</v>
      </c>
      <c r="D62" t="s">
        <v>173</v>
      </c>
      <c r="E62" t="s">
        <v>174</v>
      </c>
      <c r="F62" t="s">
        <v>247</v>
      </c>
    </row>
    <row r="63" spans="1:6" x14ac:dyDescent="0.25">
      <c r="A63" t="s">
        <v>72</v>
      </c>
      <c r="B63" t="s">
        <v>159</v>
      </c>
      <c r="C63" t="s">
        <v>18</v>
      </c>
      <c r="D63" t="s">
        <v>173</v>
      </c>
      <c r="E63" t="s">
        <v>190</v>
      </c>
      <c r="F63" t="s">
        <v>247</v>
      </c>
    </row>
    <row r="64" spans="1:6" x14ac:dyDescent="0.25">
      <c r="A64" t="s">
        <v>78</v>
      </c>
      <c r="B64" t="s">
        <v>204</v>
      </c>
      <c r="C64" t="s">
        <v>9</v>
      </c>
      <c r="D64" t="s">
        <v>173</v>
      </c>
      <c r="E64" t="s">
        <v>188</v>
      </c>
      <c r="F64" t="s">
        <v>248</v>
      </c>
    </row>
    <row r="65" spans="1:6" x14ac:dyDescent="0.25">
      <c r="A65" t="s">
        <v>78</v>
      </c>
      <c r="B65" t="s">
        <v>204</v>
      </c>
      <c r="C65" t="s">
        <v>9</v>
      </c>
      <c r="D65" t="s">
        <v>173</v>
      </c>
      <c r="E65" t="s">
        <v>188</v>
      </c>
      <c r="F65" t="s">
        <v>248</v>
      </c>
    </row>
    <row r="66" spans="1:6" x14ac:dyDescent="0.25">
      <c r="A66" t="s">
        <v>78</v>
      </c>
      <c r="B66" t="s">
        <v>204</v>
      </c>
      <c r="C66" t="s">
        <v>18</v>
      </c>
      <c r="D66" t="s">
        <v>173</v>
      </c>
      <c r="E66" t="s">
        <v>190</v>
      </c>
      <c r="F66" t="s">
        <v>248</v>
      </c>
    </row>
    <row r="67" spans="1:6" x14ac:dyDescent="0.25">
      <c r="A67" t="s">
        <v>79</v>
      </c>
      <c r="B67" t="s">
        <v>205</v>
      </c>
      <c r="C67" t="s">
        <v>9</v>
      </c>
      <c r="D67" t="s">
        <v>173</v>
      </c>
      <c r="E67" t="s">
        <v>188</v>
      </c>
      <c r="F67" t="s">
        <v>248</v>
      </c>
    </row>
    <row r="68" spans="1:6" x14ac:dyDescent="0.25">
      <c r="A68" t="s">
        <v>80</v>
      </c>
      <c r="B68" t="s">
        <v>206</v>
      </c>
      <c r="C68" t="s">
        <v>9</v>
      </c>
      <c r="D68" t="s">
        <v>173</v>
      </c>
      <c r="E68" t="s">
        <v>188</v>
      </c>
      <c r="F68" t="s">
        <v>248</v>
      </c>
    </row>
    <row r="69" spans="1:6" x14ac:dyDescent="0.25">
      <c r="A69" t="s">
        <v>81</v>
      </c>
      <c r="B69" t="s">
        <v>207</v>
      </c>
      <c r="C69" t="s">
        <v>9</v>
      </c>
      <c r="D69" t="s">
        <v>173</v>
      </c>
      <c r="E69" t="s">
        <v>188</v>
      </c>
      <c r="F69" t="s">
        <v>247</v>
      </c>
    </row>
    <row r="70" spans="1:6" x14ac:dyDescent="0.25">
      <c r="A70" t="s">
        <v>82</v>
      </c>
      <c r="B70" t="s">
        <v>208</v>
      </c>
      <c r="C70" t="s">
        <v>9</v>
      </c>
      <c r="D70" t="s">
        <v>173</v>
      </c>
      <c r="E70" t="s">
        <v>188</v>
      </c>
      <c r="F70" t="s">
        <v>248</v>
      </c>
    </row>
    <row r="71" spans="1:6" x14ac:dyDescent="0.25">
      <c r="A71" t="s">
        <v>83</v>
      </c>
      <c r="B71" t="s">
        <v>209</v>
      </c>
      <c r="C71" t="s">
        <v>9</v>
      </c>
      <c r="D71" t="s">
        <v>173</v>
      </c>
      <c r="E71" t="s">
        <v>188</v>
      </c>
      <c r="F71" t="s">
        <v>247</v>
      </c>
    </row>
    <row r="72" spans="1:6" x14ac:dyDescent="0.25">
      <c r="A72" t="s">
        <v>84</v>
      </c>
      <c r="B72" t="s">
        <v>210</v>
      </c>
      <c r="C72" t="s">
        <v>9</v>
      </c>
      <c r="D72" t="s">
        <v>173</v>
      </c>
      <c r="E72" t="s">
        <v>188</v>
      </c>
      <c r="F72" t="s">
        <v>248</v>
      </c>
    </row>
    <row r="73" spans="1:6" x14ac:dyDescent="0.25">
      <c r="A73" t="s">
        <v>85</v>
      </c>
      <c r="B73" t="s">
        <v>211</v>
      </c>
      <c r="C73" t="s">
        <v>9</v>
      </c>
      <c r="D73" t="s">
        <v>173</v>
      </c>
      <c r="E73" t="s">
        <v>188</v>
      </c>
      <c r="F73" t="s">
        <v>248</v>
      </c>
    </row>
    <row r="74" spans="1:6" x14ac:dyDescent="0.25">
      <c r="A74" t="s">
        <v>82</v>
      </c>
      <c r="B74" t="s">
        <v>208</v>
      </c>
      <c r="C74" t="s">
        <v>12</v>
      </c>
      <c r="D74" t="s">
        <v>173</v>
      </c>
      <c r="E74" t="s">
        <v>174</v>
      </c>
      <c r="F74" t="s">
        <v>248</v>
      </c>
    </row>
    <row r="75" spans="1:6" x14ac:dyDescent="0.25">
      <c r="A75" t="s">
        <v>212</v>
      </c>
      <c r="B75" t="s">
        <v>213</v>
      </c>
      <c r="C75" t="s">
        <v>18</v>
      </c>
      <c r="D75" t="s">
        <v>173</v>
      </c>
      <c r="E75" t="s">
        <v>190</v>
      </c>
      <c r="F75" t="s">
        <v>248</v>
      </c>
    </row>
    <row r="76" spans="1:6" x14ac:dyDescent="0.25">
      <c r="A76" t="s">
        <v>82</v>
      </c>
      <c r="B76" t="s">
        <v>208</v>
      </c>
      <c r="C76" t="s">
        <v>18</v>
      </c>
      <c r="D76" t="s">
        <v>173</v>
      </c>
      <c r="E76" t="s">
        <v>190</v>
      </c>
      <c r="F76" t="s">
        <v>248</v>
      </c>
    </row>
    <row r="77" spans="1:6" x14ac:dyDescent="0.25">
      <c r="A77" t="s">
        <v>84</v>
      </c>
      <c r="B77" t="s">
        <v>210</v>
      </c>
      <c r="C77" t="s">
        <v>18</v>
      </c>
      <c r="D77" t="s">
        <v>173</v>
      </c>
      <c r="E77" t="s">
        <v>190</v>
      </c>
      <c r="F77" t="s">
        <v>248</v>
      </c>
    </row>
    <row r="78" spans="1:6" x14ac:dyDescent="0.25">
      <c r="A78" t="s">
        <v>86</v>
      </c>
      <c r="B78" t="s">
        <v>214</v>
      </c>
      <c r="C78" t="s">
        <v>12</v>
      </c>
      <c r="D78" t="s">
        <v>173</v>
      </c>
      <c r="E78" t="s">
        <v>174</v>
      </c>
      <c r="F78" t="s">
        <v>248</v>
      </c>
    </row>
    <row r="79" spans="1:6" x14ac:dyDescent="0.25">
      <c r="A79" t="s">
        <v>88</v>
      </c>
      <c r="B79" t="s">
        <v>215</v>
      </c>
      <c r="C79" t="s">
        <v>12</v>
      </c>
      <c r="D79" t="s">
        <v>173</v>
      </c>
      <c r="E79" t="s">
        <v>174</v>
      </c>
      <c r="F79" t="s">
        <v>248</v>
      </c>
    </row>
    <row r="80" spans="1:6" x14ac:dyDescent="0.25">
      <c r="A80" t="s">
        <v>90</v>
      </c>
      <c r="B80" t="s">
        <v>216</v>
      </c>
      <c r="C80" t="s">
        <v>12</v>
      </c>
      <c r="D80" t="s">
        <v>173</v>
      </c>
      <c r="E80" t="s">
        <v>174</v>
      </c>
      <c r="F80" t="s">
        <v>248</v>
      </c>
    </row>
    <row r="81" spans="1:6" x14ac:dyDescent="0.25">
      <c r="A81" t="s">
        <v>89</v>
      </c>
      <c r="B81" t="s">
        <v>217</v>
      </c>
      <c r="C81" t="s">
        <v>18</v>
      </c>
      <c r="D81" t="s">
        <v>173</v>
      </c>
      <c r="E81" t="s">
        <v>190</v>
      </c>
      <c r="F81" t="s">
        <v>248</v>
      </c>
    </row>
    <row r="82" spans="1:6" x14ac:dyDescent="0.25">
      <c r="A82" t="s">
        <v>90</v>
      </c>
      <c r="B82" t="s">
        <v>216</v>
      </c>
      <c r="C82" t="s">
        <v>18</v>
      </c>
      <c r="D82" t="s">
        <v>173</v>
      </c>
      <c r="E82" t="s">
        <v>190</v>
      </c>
      <c r="F82" t="s">
        <v>248</v>
      </c>
    </row>
    <row r="83" spans="1:6" x14ac:dyDescent="0.25">
      <c r="A83" t="s">
        <v>92</v>
      </c>
      <c r="B83" t="s">
        <v>218</v>
      </c>
      <c r="C83" t="s">
        <v>14</v>
      </c>
      <c r="D83" t="s">
        <v>173</v>
      </c>
      <c r="E83" t="s">
        <v>178</v>
      </c>
      <c r="F83" t="s">
        <v>248</v>
      </c>
    </row>
    <row r="84" spans="1:6" x14ac:dyDescent="0.25">
      <c r="A84" t="s">
        <v>95</v>
      </c>
      <c r="B84" t="s">
        <v>219</v>
      </c>
      <c r="C84" t="s">
        <v>14</v>
      </c>
      <c r="D84" t="s">
        <v>173</v>
      </c>
      <c r="E84" t="s">
        <v>178</v>
      </c>
      <c r="F84" t="s">
        <v>248</v>
      </c>
    </row>
    <row r="85" spans="1:6" x14ac:dyDescent="0.25">
      <c r="A85" t="s">
        <v>92</v>
      </c>
      <c r="B85" t="s">
        <v>218</v>
      </c>
      <c r="C85" t="s">
        <v>12</v>
      </c>
      <c r="D85" t="s">
        <v>173</v>
      </c>
      <c r="E85" t="s">
        <v>174</v>
      </c>
      <c r="F85" t="s">
        <v>248</v>
      </c>
    </row>
    <row r="86" spans="1:6" x14ac:dyDescent="0.25">
      <c r="A86" t="s">
        <v>94</v>
      </c>
      <c r="B86" t="s">
        <v>220</v>
      </c>
      <c r="C86" t="s">
        <v>12</v>
      </c>
      <c r="D86" t="s">
        <v>173</v>
      </c>
      <c r="E86" t="s">
        <v>174</v>
      </c>
      <c r="F86" t="s">
        <v>247</v>
      </c>
    </row>
    <row r="87" spans="1:6" x14ac:dyDescent="0.25">
      <c r="A87" t="s">
        <v>96</v>
      </c>
      <c r="B87" t="s">
        <v>221</v>
      </c>
      <c r="C87" t="s">
        <v>12</v>
      </c>
      <c r="D87" t="s">
        <v>173</v>
      </c>
      <c r="E87" t="s">
        <v>174</v>
      </c>
      <c r="F87" t="s">
        <v>248</v>
      </c>
    </row>
    <row r="88" spans="1:6" x14ac:dyDescent="0.25">
      <c r="A88" t="s">
        <v>96</v>
      </c>
      <c r="B88" t="s">
        <v>221</v>
      </c>
      <c r="C88" t="s">
        <v>18</v>
      </c>
      <c r="D88" t="s">
        <v>173</v>
      </c>
      <c r="E88" t="s">
        <v>190</v>
      </c>
      <c r="F88" t="s">
        <v>248</v>
      </c>
    </row>
    <row r="89" spans="1:6" x14ac:dyDescent="0.25">
      <c r="A89" t="s">
        <v>97</v>
      </c>
      <c r="B89" t="s">
        <v>222</v>
      </c>
      <c r="C89" t="s">
        <v>12</v>
      </c>
      <c r="D89" t="s">
        <v>173</v>
      </c>
      <c r="E89" t="s">
        <v>174</v>
      </c>
      <c r="F89" t="s">
        <v>248</v>
      </c>
    </row>
    <row r="90" spans="1:6" x14ac:dyDescent="0.25">
      <c r="A90" t="s">
        <v>98</v>
      </c>
      <c r="B90" t="s">
        <v>223</v>
      </c>
      <c r="C90" t="s">
        <v>12</v>
      </c>
      <c r="D90" t="s">
        <v>173</v>
      </c>
      <c r="E90" t="s">
        <v>174</v>
      </c>
      <c r="F90" t="s">
        <v>248</v>
      </c>
    </row>
    <row r="91" spans="1:6" x14ac:dyDescent="0.25">
      <c r="A91" t="s">
        <v>99</v>
      </c>
      <c r="B91" t="s">
        <v>224</v>
      </c>
      <c r="C91" t="s">
        <v>12</v>
      </c>
      <c r="D91" t="s">
        <v>173</v>
      </c>
      <c r="E91" t="s">
        <v>174</v>
      </c>
      <c r="F91" t="s">
        <v>248</v>
      </c>
    </row>
    <row r="92" spans="1:6" x14ac:dyDescent="0.25">
      <c r="A92" t="s">
        <v>98</v>
      </c>
      <c r="B92" t="s">
        <v>223</v>
      </c>
      <c r="C92" t="s">
        <v>18</v>
      </c>
      <c r="D92" t="s">
        <v>173</v>
      </c>
      <c r="E92" t="s">
        <v>190</v>
      </c>
      <c r="F92" t="s">
        <v>248</v>
      </c>
    </row>
    <row r="93" spans="1:6" x14ac:dyDescent="0.25">
      <c r="A93" t="s">
        <v>101</v>
      </c>
      <c r="B93" t="s">
        <v>225</v>
      </c>
      <c r="C93" t="s">
        <v>14</v>
      </c>
      <c r="D93" t="s">
        <v>173</v>
      </c>
      <c r="E93" t="s">
        <v>178</v>
      </c>
      <c r="F93" t="s">
        <v>248</v>
      </c>
    </row>
    <row r="94" spans="1:6" x14ac:dyDescent="0.25">
      <c r="A94" t="s">
        <v>102</v>
      </c>
      <c r="B94" t="s">
        <v>226</v>
      </c>
      <c r="C94" t="s">
        <v>12</v>
      </c>
      <c r="D94" t="s">
        <v>173</v>
      </c>
      <c r="E94" t="s">
        <v>174</v>
      </c>
      <c r="F94" t="s">
        <v>247</v>
      </c>
    </row>
    <row r="95" spans="1:6" x14ac:dyDescent="0.25">
      <c r="A95" t="s">
        <v>103</v>
      </c>
      <c r="B95" t="s">
        <v>227</v>
      </c>
      <c r="C95" t="s">
        <v>12</v>
      </c>
      <c r="D95" t="s">
        <v>173</v>
      </c>
      <c r="E95" t="s">
        <v>174</v>
      </c>
      <c r="F95" t="s">
        <v>248</v>
      </c>
    </row>
    <row r="96" spans="1:6" x14ac:dyDescent="0.25">
      <c r="A96" t="s">
        <v>105</v>
      </c>
      <c r="B96" t="s">
        <v>228</v>
      </c>
      <c r="C96" t="s">
        <v>12</v>
      </c>
      <c r="D96" t="s">
        <v>173</v>
      </c>
      <c r="E96" t="s">
        <v>174</v>
      </c>
      <c r="F96" t="s">
        <v>248</v>
      </c>
    </row>
    <row r="97" spans="1:6" x14ac:dyDescent="0.25">
      <c r="A97" t="s">
        <v>106</v>
      </c>
      <c r="B97" t="s">
        <v>229</v>
      </c>
      <c r="C97" t="s">
        <v>12</v>
      </c>
      <c r="D97" t="s">
        <v>173</v>
      </c>
      <c r="E97" t="s">
        <v>174</v>
      </c>
      <c r="F97" t="s">
        <v>247</v>
      </c>
    </row>
    <row r="98" spans="1:6" x14ac:dyDescent="0.25">
      <c r="A98" t="s">
        <v>103</v>
      </c>
      <c r="B98" t="s">
        <v>227</v>
      </c>
      <c r="C98" t="s">
        <v>18</v>
      </c>
      <c r="D98" t="s">
        <v>173</v>
      </c>
      <c r="E98" t="s">
        <v>190</v>
      </c>
      <c r="F98" t="s">
        <v>248</v>
      </c>
    </row>
    <row r="99" spans="1:6" x14ac:dyDescent="0.25">
      <c r="A99" t="s">
        <v>106</v>
      </c>
      <c r="B99" t="s">
        <v>229</v>
      </c>
      <c r="C99" t="s">
        <v>18</v>
      </c>
      <c r="D99" t="s">
        <v>173</v>
      </c>
      <c r="E99" t="s">
        <v>190</v>
      </c>
      <c r="F99" t="s">
        <v>247</v>
      </c>
    </row>
    <row r="100" spans="1:6" x14ac:dyDescent="0.25">
      <c r="A100" t="s">
        <v>26</v>
      </c>
      <c r="B100" t="s">
        <v>230</v>
      </c>
      <c r="C100" t="s">
        <v>14</v>
      </c>
      <c r="D100" t="s">
        <v>132</v>
      </c>
      <c r="E100" t="s">
        <v>152</v>
      </c>
      <c r="F100" t="s">
        <v>247</v>
      </c>
    </row>
    <row r="101" spans="1:6" x14ac:dyDescent="0.25">
      <c r="A101" t="s">
        <v>26</v>
      </c>
      <c r="B101" t="s">
        <v>230</v>
      </c>
      <c r="C101" t="s">
        <v>18</v>
      </c>
      <c r="D101" t="s">
        <v>132</v>
      </c>
      <c r="E101" t="s">
        <v>158</v>
      </c>
      <c r="F101" t="s">
        <v>247</v>
      </c>
    </row>
    <row r="102" spans="1:6" x14ac:dyDescent="0.25">
      <c r="A102" t="s">
        <v>36</v>
      </c>
      <c r="B102" t="s">
        <v>151</v>
      </c>
      <c r="C102" t="s">
        <v>12</v>
      </c>
      <c r="D102" t="s">
        <v>132</v>
      </c>
      <c r="E102" t="s">
        <v>154</v>
      </c>
      <c r="F102" t="s">
        <v>247</v>
      </c>
    </row>
    <row r="103" spans="1:6" x14ac:dyDescent="0.25">
      <c r="A103" t="s">
        <v>34</v>
      </c>
      <c r="B103" t="s">
        <v>231</v>
      </c>
      <c r="C103" t="s">
        <v>14</v>
      </c>
      <c r="D103" t="s">
        <v>132</v>
      </c>
      <c r="E103" t="s">
        <v>152</v>
      </c>
      <c r="F103" t="s">
        <v>247</v>
      </c>
    </row>
    <row r="104" spans="1:6" x14ac:dyDescent="0.25">
      <c r="A104" t="s">
        <v>64</v>
      </c>
      <c r="B104" t="s">
        <v>155</v>
      </c>
      <c r="C104" t="s">
        <v>12</v>
      </c>
      <c r="D104" t="s">
        <v>132</v>
      </c>
      <c r="E104" t="s">
        <v>154</v>
      </c>
      <c r="F104" t="s">
        <v>247</v>
      </c>
    </row>
    <row r="105" spans="1:6" x14ac:dyDescent="0.25">
      <c r="A105" t="s">
        <v>64</v>
      </c>
      <c r="B105" t="s">
        <v>155</v>
      </c>
      <c r="C105" t="s">
        <v>18</v>
      </c>
      <c r="D105" t="s">
        <v>132</v>
      </c>
      <c r="E105" t="s">
        <v>158</v>
      </c>
      <c r="F105" t="s">
        <v>247</v>
      </c>
    </row>
    <row r="106" spans="1:6" x14ac:dyDescent="0.25">
      <c r="A106" t="s">
        <v>20</v>
      </c>
      <c r="B106" t="s">
        <v>157</v>
      </c>
      <c r="C106" t="s">
        <v>14</v>
      </c>
      <c r="D106" t="s">
        <v>132</v>
      </c>
      <c r="E106" t="s">
        <v>152</v>
      </c>
      <c r="F106" t="s">
        <v>247</v>
      </c>
    </row>
    <row r="107" spans="1:6" x14ac:dyDescent="0.25">
      <c r="A107" t="s">
        <v>20</v>
      </c>
      <c r="B107" t="s">
        <v>157</v>
      </c>
      <c r="C107" t="s">
        <v>12</v>
      </c>
      <c r="D107" t="s">
        <v>132</v>
      </c>
      <c r="E107" t="s">
        <v>154</v>
      </c>
      <c r="F107" t="s">
        <v>247</v>
      </c>
    </row>
    <row r="108" spans="1:6" x14ac:dyDescent="0.25">
      <c r="A108" t="s">
        <v>21</v>
      </c>
      <c r="B108" t="s">
        <v>232</v>
      </c>
      <c r="C108" t="s">
        <v>9</v>
      </c>
      <c r="D108" t="s">
        <v>132</v>
      </c>
      <c r="E108" t="s">
        <v>156</v>
      </c>
      <c r="F108" t="s">
        <v>247</v>
      </c>
    </row>
    <row r="109" spans="1:6" x14ac:dyDescent="0.25">
      <c r="A109" t="s">
        <v>21</v>
      </c>
      <c r="B109" t="s">
        <v>232</v>
      </c>
      <c r="C109" t="s">
        <v>18</v>
      </c>
      <c r="D109" t="s">
        <v>132</v>
      </c>
      <c r="E109" t="s">
        <v>158</v>
      </c>
      <c r="F109" t="s">
        <v>247</v>
      </c>
    </row>
    <row r="110" spans="1:6" x14ac:dyDescent="0.25">
      <c r="A110" t="s">
        <v>35</v>
      </c>
      <c r="B110" t="s">
        <v>233</v>
      </c>
      <c r="C110" t="s">
        <v>18</v>
      </c>
      <c r="D110" t="s">
        <v>132</v>
      </c>
      <c r="E110" t="s">
        <v>158</v>
      </c>
      <c r="F110" t="s">
        <v>247</v>
      </c>
    </row>
    <row r="111" spans="1:6" x14ac:dyDescent="0.25">
      <c r="A111" t="s">
        <v>35</v>
      </c>
      <c r="B111" t="s">
        <v>233</v>
      </c>
      <c r="C111" t="s">
        <v>9</v>
      </c>
      <c r="D111" t="s">
        <v>132</v>
      </c>
      <c r="E111" t="s">
        <v>156</v>
      </c>
      <c r="F111" t="s">
        <v>247</v>
      </c>
    </row>
    <row r="112" spans="1:6" x14ac:dyDescent="0.25">
      <c r="A112" t="s">
        <v>35</v>
      </c>
      <c r="B112" t="s">
        <v>233</v>
      </c>
      <c r="C112" t="s">
        <v>12</v>
      </c>
      <c r="D112" t="s">
        <v>132</v>
      </c>
      <c r="E112" t="s">
        <v>154</v>
      </c>
      <c r="F112" t="s">
        <v>247</v>
      </c>
    </row>
    <row r="113" spans="1:6" x14ac:dyDescent="0.25">
      <c r="A113" t="s">
        <v>35</v>
      </c>
      <c r="B113" t="s">
        <v>233</v>
      </c>
      <c r="C113" t="s">
        <v>14</v>
      </c>
      <c r="D113" t="s">
        <v>132</v>
      </c>
      <c r="E113" t="s">
        <v>152</v>
      </c>
      <c r="F113" t="s">
        <v>247</v>
      </c>
    </row>
    <row r="114" spans="1:6" x14ac:dyDescent="0.25">
      <c r="A114" t="s">
        <v>26</v>
      </c>
      <c r="B114" t="s">
        <v>230</v>
      </c>
      <c r="C114" t="s">
        <v>14</v>
      </c>
      <c r="D114" t="s">
        <v>173</v>
      </c>
      <c r="E114" t="s">
        <v>178</v>
      </c>
      <c r="F114" t="s">
        <v>247</v>
      </c>
    </row>
    <row r="115" spans="1:6" x14ac:dyDescent="0.25">
      <c r="A115" t="s">
        <v>26</v>
      </c>
      <c r="B115" t="s">
        <v>230</v>
      </c>
      <c r="C115" t="s">
        <v>12</v>
      </c>
      <c r="D115" t="s">
        <v>173</v>
      </c>
      <c r="E115" t="s">
        <v>174</v>
      </c>
      <c r="F115" t="s">
        <v>247</v>
      </c>
    </row>
    <row r="116" spans="1:6" x14ac:dyDescent="0.25">
      <c r="A116" t="s">
        <v>26</v>
      </c>
      <c r="B116" t="s">
        <v>230</v>
      </c>
      <c r="C116" t="s">
        <v>18</v>
      </c>
      <c r="D116" t="s">
        <v>173</v>
      </c>
      <c r="E116" t="s">
        <v>190</v>
      </c>
      <c r="F116" t="s">
        <v>247</v>
      </c>
    </row>
    <row r="117" spans="1:6" x14ac:dyDescent="0.25">
      <c r="A117" t="s">
        <v>16</v>
      </c>
      <c r="B117" t="s">
        <v>234</v>
      </c>
      <c r="C117" t="s">
        <v>14</v>
      </c>
      <c r="D117" t="s">
        <v>173</v>
      </c>
      <c r="E117" t="s">
        <v>178</v>
      </c>
      <c r="F117" t="s">
        <v>247</v>
      </c>
    </row>
    <row r="118" spans="1:6" x14ac:dyDescent="0.25">
      <c r="A118" t="s">
        <v>64</v>
      </c>
      <c r="B118" t="s">
        <v>155</v>
      </c>
      <c r="C118" t="s">
        <v>14</v>
      </c>
      <c r="D118" t="s">
        <v>173</v>
      </c>
      <c r="E118" t="s">
        <v>178</v>
      </c>
      <c r="F118" t="s">
        <v>247</v>
      </c>
    </row>
    <row r="119" spans="1:6" x14ac:dyDescent="0.25">
      <c r="A119" t="s">
        <v>22</v>
      </c>
      <c r="B119" t="s">
        <v>191</v>
      </c>
      <c r="C119" t="s">
        <v>9</v>
      </c>
      <c r="D119" t="s">
        <v>173</v>
      </c>
      <c r="E119" t="s">
        <v>188</v>
      </c>
      <c r="F119" t="s">
        <v>247</v>
      </c>
    </row>
    <row r="120" spans="1:6" x14ac:dyDescent="0.25">
      <c r="A120" t="s">
        <v>64</v>
      </c>
      <c r="B120" t="s">
        <v>155</v>
      </c>
      <c r="C120" t="s">
        <v>9</v>
      </c>
      <c r="D120" t="s">
        <v>173</v>
      </c>
      <c r="E120" t="s">
        <v>188</v>
      </c>
      <c r="F120" t="s">
        <v>247</v>
      </c>
    </row>
    <row r="121" spans="1:6" x14ac:dyDescent="0.25">
      <c r="A121" t="s">
        <v>27</v>
      </c>
      <c r="B121" t="s">
        <v>235</v>
      </c>
      <c r="C121" t="s">
        <v>9</v>
      </c>
      <c r="D121" t="s">
        <v>173</v>
      </c>
      <c r="E121" t="s">
        <v>188</v>
      </c>
      <c r="F121" t="s">
        <v>247</v>
      </c>
    </row>
    <row r="122" spans="1:6" x14ac:dyDescent="0.25">
      <c r="A122" t="s">
        <v>24</v>
      </c>
      <c r="B122" t="s">
        <v>236</v>
      </c>
      <c r="C122" t="s">
        <v>9</v>
      </c>
      <c r="D122" t="s">
        <v>173</v>
      </c>
      <c r="E122" t="s">
        <v>188</v>
      </c>
      <c r="F122" t="s">
        <v>247</v>
      </c>
    </row>
    <row r="123" spans="1:6" x14ac:dyDescent="0.25">
      <c r="A123" t="s">
        <v>22</v>
      </c>
      <c r="B123" t="s">
        <v>191</v>
      </c>
      <c r="C123" t="s">
        <v>12</v>
      </c>
      <c r="D123" t="s">
        <v>173</v>
      </c>
      <c r="E123" t="s">
        <v>174</v>
      </c>
      <c r="F123" t="s">
        <v>247</v>
      </c>
    </row>
    <row r="124" spans="1:6" x14ac:dyDescent="0.25">
      <c r="A124" t="s">
        <v>23</v>
      </c>
      <c r="B124" t="s">
        <v>237</v>
      </c>
      <c r="C124" t="s">
        <v>12</v>
      </c>
      <c r="D124" t="s">
        <v>173</v>
      </c>
      <c r="E124" t="s">
        <v>174</v>
      </c>
      <c r="F124" t="s">
        <v>247</v>
      </c>
    </row>
    <row r="125" spans="1:6" x14ac:dyDescent="0.25">
      <c r="A125" t="s">
        <v>66</v>
      </c>
      <c r="B125" t="s">
        <v>192</v>
      </c>
      <c r="C125" t="s">
        <v>12</v>
      </c>
      <c r="D125" t="s">
        <v>173</v>
      </c>
      <c r="E125" t="s">
        <v>174</v>
      </c>
      <c r="F125" t="s">
        <v>247</v>
      </c>
    </row>
    <row r="126" spans="1:6" x14ac:dyDescent="0.25">
      <c r="A126" t="s">
        <v>24</v>
      </c>
      <c r="B126" t="s">
        <v>236</v>
      </c>
      <c r="C126" t="s">
        <v>12</v>
      </c>
      <c r="D126" t="s">
        <v>173</v>
      </c>
      <c r="E126" t="s">
        <v>174</v>
      </c>
      <c r="F126" t="s">
        <v>247</v>
      </c>
    </row>
    <row r="127" spans="1:6" x14ac:dyDescent="0.25">
      <c r="A127" t="s">
        <v>61</v>
      </c>
      <c r="B127" t="s">
        <v>238</v>
      </c>
      <c r="C127" t="s">
        <v>18</v>
      </c>
      <c r="D127" t="s">
        <v>173</v>
      </c>
      <c r="E127" t="s">
        <v>190</v>
      </c>
      <c r="F127" t="s">
        <v>247</v>
      </c>
    </row>
    <row r="128" spans="1:6" x14ac:dyDescent="0.25">
      <c r="A128" t="s">
        <v>39</v>
      </c>
      <c r="B128" t="s">
        <v>239</v>
      </c>
      <c r="C128" t="s">
        <v>18</v>
      </c>
      <c r="D128" t="s">
        <v>173</v>
      </c>
      <c r="E128" t="s">
        <v>190</v>
      </c>
      <c r="F128" t="s">
        <v>247</v>
      </c>
    </row>
    <row r="129" spans="1:6" x14ac:dyDescent="0.25">
      <c r="A129" t="s">
        <v>22</v>
      </c>
      <c r="B129" t="s">
        <v>191</v>
      </c>
      <c r="C129" t="s">
        <v>18</v>
      </c>
      <c r="D129" t="s">
        <v>173</v>
      </c>
      <c r="E129" t="s">
        <v>190</v>
      </c>
      <c r="F129" t="s">
        <v>247</v>
      </c>
    </row>
    <row r="130" spans="1:6" x14ac:dyDescent="0.25">
      <c r="A130" t="s">
        <v>23</v>
      </c>
      <c r="B130" t="s">
        <v>237</v>
      </c>
      <c r="C130" t="s">
        <v>18</v>
      </c>
      <c r="D130" t="s">
        <v>173</v>
      </c>
      <c r="E130" t="s">
        <v>190</v>
      </c>
      <c r="F130" t="s">
        <v>247</v>
      </c>
    </row>
    <row r="131" spans="1:6" x14ac:dyDescent="0.25">
      <c r="A131" t="s">
        <v>66</v>
      </c>
      <c r="B131" t="s">
        <v>192</v>
      </c>
      <c r="C131" t="s">
        <v>18</v>
      </c>
      <c r="D131" t="s">
        <v>173</v>
      </c>
      <c r="E131" t="s">
        <v>190</v>
      </c>
      <c r="F131" t="s">
        <v>247</v>
      </c>
    </row>
    <row r="132" spans="1:6" x14ac:dyDescent="0.25">
      <c r="A132" t="s">
        <v>24</v>
      </c>
      <c r="B132" t="s">
        <v>236</v>
      </c>
      <c r="C132" t="s">
        <v>18</v>
      </c>
      <c r="D132" t="s">
        <v>173</v>
      </c>
      <c r="E132" t="s">
        <v>190</v>
      </c>
      <c r="F132" t="s">
        <v>247</v>
      </c>
    </row>
    <row r="133" spans="1:6" x14ac:dyDescent="0.25">
      <c r="A133" t="s">
        <v>20</v>
      </c>
      <c r="B133" t="s">
        <v>157</v>
      </c>
      <c r="C133" t="s">
        <v>12</v>
      </c>
      <c r="D133" t="s">
        <v>173</v>
      </c>
      <c r="E133" t="s">
        <v>174</v>
      </c>
      <c r="F133" t="s">
        <v>247</v>
      </c>
    </row>
    <row r="134" spans="1:6" x14ac:dyDescent="0.25">
      <c r="A134" t="s">
        <v>15</v>
      </c>
      <c r="B134" t="s">
        <v>240</v>
      </c>
      <c r="C134" t="s">
        <v>12</v>
      </c>
      <c r="D134" t="s">
        <v>173</v>
      </c>
      <c r="E134" t="s">
        <v>174</v>
      </c>
      <c r="F134" t="s">
        <v>247</v>
      </c>
    </row>
    <row r="135" spans="1:6" x14ac:dyDescent="0.25">
      <c r="A135" t="s">
        <v>13</v>
      </c>
      <c r="B135" t="s">
        <v>201</v>
      </c>
      <c r="C135" t="s">
        <v>14</v>
      </c>
      <c r="D135" t="s">
        <v>173</v>
      </c>
      <c r="E135" t="s">
        <v>178</v>
      </c>
      <c r="F135" t="s">
        <v>247</v>
      </c>
    </row>
    <row r="136" spans="1:6" x14ac:dyDescent="0.25">
      <c r="A136" t="s">
        <v>17</v>
      </c>
      <c r="B136" t="s">
        <v>241</v>
      </c>
      <c r="C136" t="s">
        <v>18</v>
      </c>
      <c r="D136" t="s">
        <v>173</v>
      </c>
      <c r="E136" t="s">
        <v>190</v>
      </c>
      <c r="F136" t="s">
        <v>247</v>
      </c>
    </row>
    <row r="137" spans="1:6" x14ac:dyDescent="0.25">
      <c r="A137" t="s">
        <v>8</v>
      </c>
      <c r="B137" t="s">
        <v>242</v>
      </c>
      <c r="C137" t="s">
        <v>9</v>
      </c>
      <c r="D137" t="s">
        <v>173</v>
      </c>
      <c r="E137" t="s">
        <v>188</v>
      </c>
      <c r="F137" t="s">
        <v>247</v>
      </c>
    </row>
    <row r="138" spans="1:6" x14ac:dyDescent="0.25">
      <c r="A138" t="s">
        <v>21</v>
      </c>
      <c r="B138" t="s">
        <v>232</v>
      </c>
      <c r="C138" t="s">
        <v>12</v>
      </c>
      <c r="D138" t="s">
        <v>173</v>
      </c>
      <c r="E138" t="s">
        <v>174</v>
      </c>
      <c r="F138" t="s">
        <v>247</v>
      </c>
    </row>
    <row r="139" spans="1:6" x14ac:dyDescent="0.25">
      <c r="A139" t="s">
        <v>19</v>
      </c>
      <c r="B139" t="s">
        <v>243</v>
      </c>
      <c r="C139" t="s">
        <v>9</v>
      </c>
      <c r="D139" t="s">
        <v>173</v>
      </c>
      <c r="E139" t="s">
        <v>188</v>
      </c>
      <c r="F139" t="s">
        <v>247</v>
      </c>
    </row>
    <row r="140" spans="1:6" x14ac:dyDescent="0.25">
      <c r="A140" t="s">
        <v>10</v>
      </c>
      <c r="B140" t="s">
        <v>244</v>
      </c>
      <c r="C140" t="s">
        <v>9</v>
      </c>
      <c r="D140" t="s">
        <v>173</v>
      </c>
      <c r="E140" t="s">
        <v>188</v>
      </c>
      <c r="F140" t="s">
        <v>247</v>
      </c>
    </row>
    <row r="141" spans="1:6" x14ac:dyDescent="0.25">
      <c r="A141" t="s">
        <v>27</v>
      </c>
      <c r="B141" t="s">
        <v>235</v>
      </c>
      <c r="C141" t="s">
        <v>9</v>
      </c>
      <c r="D141" t="s">
        <v>173</v>
      </c>
      <c r="E141" t="s">
        <v>188</v>
      </c>
      <c r="F141" t="s">
        <v>247</v>
      </c>
    </row>
    <row r="142" spans="1:6" x14ac:dyDescent="0.25">
      <c r="A142" t="s">
        <v>10</v>
      </c>
      <c r="B142" t="s">
        <v>244</v>
      </c>
      <c r="C142" t="s">
        <v>12</v>
      </c>
      <c r="D142" t="s">
        <v>173</v>
      </c>
      <c r="E142" t="s">
        <v>174</v>
      </c>
      <c r="F142" t="s">
        <v>247</v>
      </c>
    </row>
    <row r="143" spans="1:6" x14ac:dyDescent="0.25">
      <c r="A143" t="s">
        <v>10</v>
      </c>
      <c r="B143" t="s">
        <v>244</v>
      </c>
      <c r="C143" t="s">
        <v>18</v>
      </c>
      <c r="D143" t="s">
        <v>173</v>
      </c>
      <c r="E143" t="s">
        <v>190</v>
      </c>
      <c r="F143" t="s">
        <v>247</v>
      </c>
    </row>
    <row r="144" spans="1:6" x14ac:dyDescent="0.25">
      <c r="A144" t="s">
        <v>11</v>
      </c>
      <c r="B144" t="s">
        <v>245</v>
      </c>
      <c r="C144" t="s">
        <v>12</v>
      </c>
      <c r="D144" t="s">
        <v>173</v>
      </c>
      <c r="E144" t="s">
        <v>174</v>
      </c>
      <c r="F144" t="s">
        <v>247</v>
      </c>
    </row>
    <row r="145" spans="1:6" x14ac:dyDescent="0.25">
      <c r="A145" t="s">
        <v>25</v>
      </c>
      <c r="B145" t="s">
        <v>246</v>
      </c>
      <c r="C145" t="s">
        <v>12</v>
      </c>
      <c r="D145" t="s">
        <v>173</v>
      </c>
      <c r="E145" t="s">
        <v>174</v>
      </c>
      <c r="F145" t="s">
        <v>247</v>
      </c>
    </row>
  </sheetData>
  <conditionalFormatting sqref="F2:F145">
    <cfRule type="cellIs" dxfId="2" priority="1" operator="equal">
      <formula>"No"</formula>
    </cfRule>
    <cfRule type="cellIs" dxfId="1" priority="2" operator="equal">
      <formula>"SI"</formula>
    </cfRule>
  </conditionalFormatting>
  <hyperlinks>
    <hyperlink ref="E13" r:id="rId1" xr:uid="{88CBCF01-B38B-460F-9A30-CBD7ABF938D7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3D2A-D087-4D71-B616-D378ABDD8D8D}">
  <dimension ref="A1:B93"/>
  <sheetViews>
    <sheetView tabSelected="1" workbookViewId="0">
      <selection activeCell="A6" sqref="A6"/>
    </sheetView>
  </sheetViews>
  <sheetFormatPr baseColWidth="10" defaultRowHeight="15" x14ac:dyDescent="0.25"/>
  <cols>
    <col min="1" max="1" width="26.5703125" bestFit="1" customWidth="1"/>
    <col min="2" max="2" width="48.85546875" bestFit="1" customWidth="1"/>
  </cols>
  <sheetData>
    <row r="1" spans="1:2" x14ac:dyDescent="0.25">
      <c r="A1" t="s">
        <v>37</v>
      </c>
      <c r="B1" t="s">
        <v>108</v>
      </c>
    </row>
    <row r="2" spans="1:2" x14ac:dyDescent="0.25">
      <c r="A2" t="s">
        <v>38</v>
      </c>
      <c r="B2" t="s">
        <v>109</v>
      </c>
    </row>
    <row r="3" spans="1:2" x14ac:dyDescent="0.25">
      <c r="A3" t="s">
        <v>39</v>
      </c>
      <c r="B3" t="s">
        <v>110</v>
      </c>
    </row>
    <row r="4" spans="1:2" x14ac:dyDescent="0.25">
      <c r="A4" t="s">
        <v>40</v>
      </c>
      <c r="B4" t="s">
        <v>111</v>
      </c>
    </row>
    <row r="5" spans="1:2" x14ac:dyDescent="0.25">
      <c r="A5" t="s">
        <v>27</v>
      </c>
      <c r="B5" t="s">
        <v>110</v>
      </c>
    </row>
    <row r="6" spans="1:2" x14ac:dyDescent="0.25">
      <c r="A6" t="s">
        <v>41</v>
      </c>
      <c r="B6" t="s">
        <v>112</v>
      </c>
    </row>
    <row r="7" spans="1:2" x14ac:dyDescent="0.25">
      <c r="A7" t="s">
        <v>42</v>
      </c>
      <c r="B7" t="s">
        <v>112</v>
      </c>
    </row>
    <row r="8" spans="1:2" x14ac:dyDescent="0.25">
      <c r="A8" t="s">
        <v>43</v>
      </c>
      <c r="B8" t="s">
        <v>112</v>
      </c>
    </row>
    <row r="9" spans="1:2" x14ac:dyDescent="0.25">
      <c r="A9" t="s">
        <v>26</v>
      </c>
      <c r="B9" t="s">
        <v>113</v>
      </c>
    </row>
    <row r="10" spans="1:2" x14ac:dyDescent="0.25">
      <c r="A10" t="s">
        <v>44</v>
      </c>
      <c r="B10" t="s">
        <v>114</v>
      </c>
    </row>
    <row r="11" spans="1:2" x14ac:dyDescent="0.25">
      <c r="A11" t="s">
        <v>45</v>
      </c>
      <c r="B11" t="s">
        <v>114</v>
      </c>
    </row>
    <row r="12" spans="1:2" x14ac:dyDescent="0.25">
      <c r="A12" t="s">
        <v>46</v>
      </c>
      <c r="B12" t="s">
        <v>114</v>
      </c>
    </row>
    <row r="13" spans="1:2" x14ac:dyDescent="0.25">
      <c r="A13" t="s">
        <v>47</v>
      </c>
      <c r="B13" t="s">
        <v>115</v>
      </c>
    </row>
    <row r="14" spans="1:2" x14ac:dyDescent="0.25">
      <c r="A14" t="s">
        <v>48</v>
      </c>
      <c r="B14" t="s">
        <v>115</v>
      </c>
    </row>
    <row r="15" spans="1:2" x14ac:dyDescent="0.25">
      <c r="A15" t="s">
        <v>49</v>
      </c>
      <c r="B15" t="s">
        <v>115</v>
      </c>
    </row>
    <row r="16" spans="1:2" x14ac:dyDescent="0.25">
      <c r="A16" t="s">
        <v>50</v>
      </c>
      <c r="B16" t="s">
        <v>115</v>
      </c>
    </row>
    <row r="17" spans="1:2" x14ac:dyDescent="0.25">
      <c r="A17" t="s">
        <v>51</v>
      </c>
      <c r="B17" t="s">
        <v>116</v>
      </c>
    </row>
    <row r="18" spans="1:2" x14ac:dyDescent="0.25">
      <c r="A18" t="s">
        <v>52</v>
      </c>
      <c r="B18" t="s">
        <v>116</v>
      </c>
    </row>
    <row r="19" spans="1:2" x14ac:dyDescent="0.25">
      <c r="A19" t="s">
        <v>53</v>
      </c>
      <c r="B19" t="s">
        <v>116</v>
      </c>
    </row>
    <row r="20" spans="1:2" x14ac:dyDescent="0.25">
      <c r="A20" t="s">
        <v>54</v>
      </c>
      <c r="B20" t="s">
        <v>116</v>
      </c>
    </row>
    <row r="21" spans="1:2" x14ac:dyDescent="0.25">
      <c r="A21" t="s">
        <v>55</v>
      </c>
      <c r="B21" t="s">
        <v>116</v>
      </c>
    </row>
    <row r="22" spans="1:2" x14ac:dyDescent="0.25">
      <c r="A22" t="s">
        <v>56</v>
      </c>
      <c r="B22" t="s">
        <v>116</v>
      </c>
    </row>
    <row r="23" spans="1:2" x14ac:dyDescent="0.25">
      <c r="A23" t="s">
        <v>16</v>
      </c>
      <c r="B23" t="s">
        <v>109</v>
      </c>
    </row>
    <row r="24" spans="1:2" x14ac:dyDescent="0.25">
      <c r="A24" t="s">
        <v>57</v>
      </c>
      <c r="B24" t="s">
        <v>109</v>
      </c>
    </row>
    <row r="25" spans="1:2" x14ac:dyDescent="0.25">
      <c r="A25" t="s">
        <v>58</v>
      </c>
      <c r="B25" t="s">
        <v>109</v>
      </c>
    </row>
    <row r="26" spans="1:2" x14ac:dyDescent="0.25">
      <c r="A26" t="s">
        <v>59</v>
      </c>
      <c r="B26" t="s">
        <v>109</v>
      </c>
    </row>
    <row r="27" spans="1:2" x14ac:dyDescent="0.25">
      <c r="A27" t="s">
        <v>60</v>
      </c>
      <c r="B27" t="s">
        <v>109</v>
      </c>
    </row>
    <row r="28" spans="1:2" x14ac:dyDescent="0.25">
      <c r="A28" t="s">
        <v>61</v>
      </c>
      <c r="B28" t="s">
        <v>110</v>
      </c>
    </row>
    <row r="29" spans="1:2" x14ac:dyDescent="0.25">
      <c r="A29" t="s">
        <v>62</v>
      </c>
      <c r="B29" t="s">
        <v>110</v>
      </c>
    </row>
    <row r="30" spans="1:2" x14ac:dyDescent="0.25">
      <c r="A30" t="s">
        <v>22</v>
      </c>
      <c r="B30" t="s">
        <v>110</v>
      </c>
    </row>
    <row r="31" spans="1:2" x14ac:dyDescent="0.25">
      <c r="A31" t="s">
        <v>23</v>
      </c>
      <c r="B31" t="s">
        <v>110</v>
      </c>
    </row>
    <row r="32" spans="1:2" x14ac:dyDescent="0.25">
      <c r="A32" t="s">
        <v>63</v>
      </c>
      <c r="B32" t="s">
        <v>110</v>
      </c>
    </row>
    <row r="33" spans="1:2" x14ac:dyDescent="0.25">
      <c r="A33" t="s">
        <v>64</v>
      </c>
      <c r="B33" t="s">
        <v>110</v>
      </c>
    </row>
    <row r="34" spans="1:2" x14ac:dyDescent="0.25">
      <c r="A34" t="s">
        <v>65</v>
      </c>
      <c r="B34" t="s">
        <v>110</v>
      </c>
    </row>
    <row r="35" spans="1:2" x14ac:dyDescent="0.25">
      <c r="A35" t="s">
        <v>66</v>
      </c>
      <c r="B35" t="s">
        <v>110</v>
      </c>
    </row>
    <row r="36" spans="1:2" x14ac:dyDescent="0.25">
      <c r="A36" t="s">
        <v>67</v>
      </c>
      <c r="B36" t="s">
        <v>110</v>
      </c>
    </row>
    <row r="37" spans="1:2" x14ac:dyDescent="0.25">
      <c r="A37" t="s">
        <v>24</v>
      </c>
      <c r="B37" t="s">
        <v>110</v>
      </c>
    </row>
    <row r="38" spans="1:2" x14ac:dyDescent="0.25">
      <c r="A38" t="s">
        <v>20</v>
      </c>
      <c r="B38" t="s">
        <v>117</v>
      </c>
    </row>
    <row r="39" spans="1:2" x14ac:dyDescent="0.25">
      <c r="A39" t="s">
        <v>68</v>
      </c>
      <c r="B39" t="s">
        <v>117</v>
      </c>
    </row>
    <row r="40" spans="1:2" x14ac:dyDescent="0.25">
      <c r="A40" t="s">
        <v>69</v>
      </c>
      <c r="B40" t="s">
        <v>117</v>
      </c>
    </row>
    <row r="41" spans="1:2" x14ac:dyDescent="0.25">
      <c r="A41" t="s">
        <v>70</v>
      </c>
      <c r="B41" t="s">
        <v>117</v>
      </c>
    </row>
    <row r="42" spans="1:2" x14ac:dyDescent="0.25">
      <c r="A42" t="s">
        <v>15</v>
      </c>
      <c r="B42" t="s">
        <v>117</v>
      </c>
    </row>
    <row r="43" spans="1:2" x14ac:dyDescent="0.25">
      <c r="A43" t="s">
        <v>13</v>
      </c>
      <c r="B43" t="s">
        <v>118</v>
      </c>
    </row>
    <row r="44" spans="1:2" x14ac:dyDescent="0.25">
      <c r="A44" t="s">
        <v>71</v>
      </c>
      <c r="B44" t="s">
        <v>118</v>
      </c>
    </row>
    <row r="45" spans="1:2" x14ac:dyDescent="0.25">
      <c r="A45" t="s">
        <v>72</v>
      </c>
      <c r="B45" t="s">
        <v>118</v>
      </c>
    </row>
    <row r="46" spans="1:2" x14ac:dyDescent="0.25">
      <c r="A46" t="s">
        <v>73</v>
      </c>
      <c r="B46" t="s">
        <v>118</v>
      </c>
    </row>
    <row r="47" spans="1:2" x14ac:dyDescent="0.25">
      <c r="A47" t="s">
        <v>17</v>
      </c>
      <c r="B47" t="s">
        <v>118</v>
      </c>
    </row>
    <row r="48" spans="1:2" x14ac:dyDescent="0.25">
      <c r="A48" t="s">
        <v>74</v>
      </c>
      <c r="B48" t="s">
        <v>118</v>
      </c>
    </row>
    <row r="49" spans="1:2" x14ac:dyDescent="0.25">
      <c r="A49" t="s">
        <v>75</v>
      </c>
      <c r="B49" t="s">
        <v>118</v>
      </c>
    </row>
    <row r="50" spans="1:2" x14ac:dyDescent="0.25">
      <c r="A50" t="s">
        <v>21</v>
      </c>
      <c r="B50" t="s">
        <v>119</v>
      </c>
    </row>
    <row r="51" spans="1:2" x14ac:dyDescent="0.25">
      <c r="A51" t="s">
        <v>8</v>
      </c>
      <c r="B51" t="s">
        <v>119</v>
      </c>
    </row>
    <row r="52" spans="1:2" x14ac:dyDescent="0.25">
      <c r="A52" t="s">
        <v>76</v>
      </c>
      <c r="B52" t="s">
        <v>119</v>
      </c>
    </row>
    <row r="53" spans="1:2" x14ac:dyDescent="0.25">
      <c r="A53" t="s">
        <v>77</v>
      </c>
      <c r="B53" t="s">
        <v>119</v>
      </c>
    </row>
    <row r="54" spans="1:2" x14ac:dyDescent="0.25">
      <c r="A54" t="s">
        <v>78</v>
      </c>
      <c r="B54" t="s">
        <v>119</v>
      </c>
    </row>
    <row r="55" spans="1:2" x14ac:dyDescent="0.25">
      <c r="A55" t="s">
        <v>79</v>
      </c>
      <c r="B55" t="s">
        <v>111</v>
      </c>
    </row>
    <row r="56" spans="1:2" x14ac:dyDescent="0.25">
      <c r="A56" t="s">
        <v>80</v>
      </c>
      <c r="B56" t="s">
        <v>111</v>
      </c>
    </row>
    <row r="57" spans="1:2" x14ac:dyDescent="0.25">
      <c r="A57" t="s">
        <v>81</v>
      </c>
      <c r="B57" t="s">
        <v>111</v>
      </c>
    </row>
    <row r="58" spans="1:2" x14ac:dyDescent="0.25">
      <c r="A58" t="s">
        <v>82</v>
      </c>
      <c r="B58" t="s">
        <v>111</v>
      </c>
    </row>
    <row r="59" spans="1:2" x14ac:dyDescent="0.25">
      <c r="A59" t="s">
        <v>19</v>
      </c>
      <c r="B59" t="s">
        <v>111</v>
      </c>
    </row>
    <row r="60" spans="1:2" x14ac:dyDescent="0.25">
      <c r="A60" t="s">
        <v>83</v>
      </c>
      <c r="B60" t="s">
        <v>111</v>
      </c>
    </row>
    <row r="61" spans="1:2" x14ac:dyDescent="0.25">
      <c r="A61" t="s">
        <v>10</v>
      </c>
      <c r="B61" t="s">
        <v>111</v>
      </c>
    </row>
    <row r="62" spans="1:2" x14ac:dyDescent="0.25">
      <c r="A62" t="s">
        <v>84</v>
      </c>
      <c r="B62" t="s">
        <v>111</v>
      </c>
    </row>
    <row r="63" spans="1:2" x14ac:dyDescent="0.25">
      <c r="A63" t="s">
        <v>85</v>
      </c>
      <c r="B63" t="s">
        <v>111</v>
      </c>
    </row>
    <row r="64" spans="1:2" x14ac:dyDescent="0.25">
      <c r="A64" t="s">
        <v>11</v>
      </c>
      <c r="B64" t="s">
        <v>120</v>
      </c>
    </row>
    <row r="65" spans="1:2" x14ac:dyDescent="0.25">
      <c r="A65" t="s">
        <v>86</v>
      </c>
      <c r="B65" t="s">
        <v>120</v>
      </c>
    </row>
    <row r="66" spans="1:2" x14ac:dyDescent="0.25">
      <c r="A66" t="s">
        <v>87</v>
      </c>
      <c r="B66" t="s">
        <v>120</v>
      </c>
    </row>
    <row r="67" spans="1:2" x14ac:dyDescent="0.25">
      <c r="A67" t="s">
        <v>88</v>
      </c>
      <c r="B67" t="s">
        <v>120</v>
      </c>
    </row>
    <row r="68" spans="1:2" x14ac:dyDescent="0.25">
      <c r="A68" t="s">
        <v>89</v>
      </c>
      <c r="B68" t="s">
        <v>120</v>
      </c>
    </row>
    <row r="69" spans="1:2" x14ac:dyDescent="0.25">
      <c r="A69" t="s">
        <v>90</v>
      </c>
      <c r="B69" t="s">
        <v>120</v>
      </c>
    </row>
    <row r="70" spans="1:2" x14ac:dyDescent="0.25">
      <c r="A70" t="s">
        <v>91</v>
      </c>
      <c r="B70" t="s">
        <v>121</v>
      </c>
    </row>
    <row r="71" spans="1:2" x14ac:dyDescent="0.25">
      <c r="A71" t="s">
        <v>92</v>
      </c>
      <c r="B71" t="s">
        <v>121</v>
      </c>
    </row>
    <row r="72" spans="1:2" x14ac:dyDescent="0.25">
      <c r="A72" t="s">
        <v>93</v>
      </c>
      <c r="B72" t="s">
        <v>121</v>
      </c>
    </row>
    <row r="73" spans="1:2" x14ac:dyDescent="0.25">
      <c r="A73" t="s">
        <v>94</v>
      </c>
      <c r="B73" t="s">
        <v>121</v>
      </c>
    </row>
    <row r="74" spans="1:2" x14ac:dyDescent="0.25">
      <c r="A74" t="s">
        <v>95</v>
      </c>
      <c r="B74" t="s">
        <v>121</v>
      </c>
    </row>
    <row r="75" spans="1:2" x14ac:dyDescent="0.25">
      <c r="A75" t="s">
        <v>96</v>
      </c>
      <c r="B75" t="s">
        <v>121</v>
      </c>
    </row>
    <row r="76" spans="1:2" x14ac:dyDescent="0.25">
      <c r="A76" t="s">
        <v>97</v>
      </c>
      <c r="B76" t="s">
        <v>122</v>
      </c>
    </row>
    <row r="77" spans="1:2" x14ac:dyDescent="0.25">
      <c r="A77" t="s">
        <v>98</v>
      </c>
      <c r="B77" t="s">
        <v>122</v>
      </c>
    </row>
    <row r="78" spans="1:2" x14ac:dyDescent="0.25">
      <c r="A78" t="s">
        <v>25</v>
      </c>
      <c r="B78" t="s">
        <v>122</v>
      </c>
    </row>
    <row r="79" spans="1:2" x14ac:dyDescent="0.25">
      <c r="A79" t="s">
        <v>99</v>
      </c>
      <c r="B79" t="s">
        <v>122</v>
      </c>
    </row>
    <row r="80" spans="1:2" x14ac:dyDescent="0.25">
      <c r="A80" t="s">
        <v>100</v>
      </c>
      <c r="B80" t="s">
        <v>122</v>
      </c>
    </row>
    <row r="81" spans="1:2" x14ac:dyDescent="0.25">
      <c r="A81" t="s">
        <v>101</v>
      </c>
      <c r="B81" t="s">
        <v>123</v>
      </c>
    </row>
    <row r="82" spans="1:2" x14ac:dyDescent="0.25">
      <c r="A82" t="s">
        <v>102</v>
      </c>
      <c r="B82" t="s">
        <v>123</v>
      </c>
    </row>
    <row r="83" spans="1:2" x14ac:dyDescent="0.25">
      <c r="A83" t="s">
        <v>103</v>
      </c>
      <c r="B83" t="s">
        <v>124</v>
      </c>
    </row>
    <row r="84" spans="1:2" x14ac:dyDescent="0.25">
      <c r="A84" t="s">
        <v>104</v>
      </c>
      <c r="B84" t="s">
        <v>124</v>
      </c>
    </row>
    <row r="85" spans="1:2" x14ac:dyDescent="0.25">
      <c r="A85" t="s">
        <v>105</v>
      </c>
      <c r="B85" t="s">
        <v>124</v>
      </c>
    </row>
    <row r="86" spans="1:2" x14ac:dyDescent="0.25">
      <c r="A86" t="s">
        <v>106</v>
      </c>
      <c r="B86" t="s">
        <v>124</v>
      </c>
    </row>
    <row r="87" spans="1:2" x14ac:dyDescent="0.25">
      <c r="A87" t="s">
        <v>107</v>
      </c>
      <c r="B87" t="s">
        <v>124</v>
      </c>
    </row>
    <row r="88" spans="1:2" x14ac:dyDescent="0.25">
      <c r="A88" t="s">
        <v>35</v>
      </c>
      <c r="B88" t="s">
        <v>125</v>
      </c>
    </row>
    <row r="89" spans="1:2" x14ac:dyDescent="0.25">
      <c r="A89" t="s">
        <v>34</v>
      </c>
      <c r="B89" t="s">
        <v>109</v>
      </c>
    </row>
    <row r="90" spans="1:2" x14ac:dyDescent="0.25">
      <c r="A90" t="s">
        <v>36</v>
      </c>
      <c r="B90" t="s">
        <v>115</v>
      </c>
    </row>
    <row r="91" spans="1:2" x14ac:dyDescent="0.25">
      <c r="A91" t="s">
        <v>143</v>
      </c>
      <c r="B91" t="s">
        <v>121</v>
      </c>
    </row>
    <row r="92" spans="1:2" x14ac:dyDescent="0.25">
      <c r="A92" t="s">
        <v>144</v>
      </c>
      <c r="B92" t="s">
        <v>125</v>
      </c>
    </row>
    <row r="93" spans="1:2" x14ac:dyDescent="0.25">
      <c r="A93" t="s">
        <v>145</v>
      </c>
      <c r="B93" t="s">
        <v>122</v>
      </c>
    </row>
  </sheetData>
  <conditionalFormatting sqref="A2:A93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FDB2-6A8A-4A6B-9AAC-2E4A8870902C}">
  <dimension ref="A1:L23"/>
  <sheetViews>
    <sheetView showGridLines="0" workbookViewId="0">
      <selection activeCell="G20" sqref="G20"/>
    </sheetView>
  </sheetViews>
  <sheetFormatPr baseColWidth="10" defaultRowHeight="15" x14ac:dyDescent="0.25"/>
  <cols>
    <col min="6" max="6" width="12.28515625" customWidth="1"/>
    <col min="7" max="7" width="92.42578125" customWidth="1"/>
    <col min="8" max="8" width="10.5703125" customWidth="1"/>
    <col min="9" max="14" width="13.5703125" customWidth="1"/>
  </cols>
  <sheetData>
    <row r="1" spans="1:12" ht="24" x14ac:dyDescent="0.4">
      <c r="A1" s="13" t="s">
        <v>132</v>
      </c>
      <c r="B1" s="13"/>
      <c r="C1" s="13"/>
      <c r="D1" s="13"/>
      <c r="E1" s="13"/>
      <c r="F1" s="13"/>
      <c r="G1" s="13"/>
      <c r="H1" s="13"/>
    </row>
    <row r="3" spans="1:12" x14ac:dyDescent="0.25">
      <c r="G3" s="3" t="s">
        <v>126</v>
      </c>
      <c r="H3" s="4">
        <f>Formalizacion[[#Totals],[Preguntas Formalización.1.El convenio se firmó dentro del plazo establecido y conforme a las instrucciones enviadas por Corfo.]]</f>
        <v>5.7857142857142856</v>
      </c>
    </row>
    <row r="4" spans="1:12" ht="30" x14ac:dyDescent="0.25">
      <c r="G4" s="3" t="s">
        <v>127</v>
      </c>
      <c r="H4" s="4">
        <f>Formalizacion[[#Totals],[Preguntas Formalización.2.Las garantías fueron entregadas en los plazos establecidos y conforme a las instrucciones enviadas por Corfo.]]</f>
        <v>5.75</v>
      </c>
    </row>
    <row r="5" spans="1:12" ht="30" x14ac:dyDescent="0.25">
      <c r="G5" s="3" t="s">
        <v>128</v>
      </c>
      <c r="H5" s="4">
        <f>Formalizacion[[#Totals],[Preguntas Formalización.3. La entidad se encuentra al día con los requisitos necesarios para formalizar y realizar el pago correspondiente (RPJ; pagos previsionales; entrega de informes, entre otros).]]</f>
        <v>5.4285714285714288</v>
      </c>
      <c r="J5" s="15" t="s">
        <v>131</v>
      </c>
      <c r="K5" s="15"/>
      <c r="L5" s="15"/>
    </row>
    <row r="6" spans="1:12" ht="30" x14ac:dyDescent="0.25">
      <c r="G6" s="3" t="s">
        <v>129</v>
      </c>
      <c r="H6" s="4">
        <f>Formalizacion[[#Totals],[Preguntas Formalización.4.La comunicación con la entidad es fluida y permitió resolver dudas y requerimientos durante el proceso de formalización.]]</f>
        <v>6.0714285714285712</v>
      </c>
      <c r="J6" s="14">
        <f>AVERAGE(H10,H23)</f>
        <v>5.7090799031476998</v>
      </c>
      <c r="K6" s="14"/>
      <c r="L6" s="14"/>
    </row>
    <row r="7" spans="1:12" ht="30" x14ac:dyDescent="0.25">
      <c r="G7" s="3" t="s">
        <v>130</v>
      </c>
      <c r="H7" s="4">
        <f>Formalizacion[[#Totals],[Preguntas Formalización.5.En general, la entidad cumplió adecuadamente con el proceso completo de formalización de este proyecto.]]</f>
        <v>5.75</v>
      </c>
      <c r="J7" s="14"/>
      <c r="K7" s="14"/>
      <c r="L7" s="14"/>
    </row>
    <row r="8" spans="1:12" x14ac:dyDescent="0.25">
      <c r="J8" s="14"/>
      <c r="K8" s="14"/>
      <c r="L8" s="14"/>
    </row>
    <row r="9" spans="1:12" x14ac:dyDescent="0.25">
      <c r="J9" s="14"/>
      <c r="K9" s="14"/>
      <c r="L9" s="14"/>
    </row>
    <row r="10" spans="1:12" x14ac:dyDescent="0.25">
      <c r="G10" s="7" t="s">
        <v>134</v>
      </c>
      <c r="H10" s="2">
        <f>AVERAGE(H3:H7)</f>
        <v>5.7571428571428571</v>
      </c>
      <c r="J10" s="14"/>
      <c r="K10" s="14"/>
      <c r="L10" s="14"/>
    </row>
    <row r="11" spans="1:12" x14ac:dyDescent="0.25">
      <c r="J11" s="14"/>
      <c r="K11" s="14"/>
      <c r="L11" s="14"/>
    </row>
    <row r="12" spans="1:12" x14ac:dyDescent="0.25">
      <c r="J12" s="14"/>
      <c r="K12" s="14"/>
      <c r="L12" s="14"/>
    </row>
    <row r="13" spans="1:12" x14ac:dyDescent="0.25">
      <c r="J13" s="14"/>
      <c r="K13" s="14"/>
      <c r="L13" s="14"/>
    </row>
    <row r="14" spans="1:12" ht="24" x14ac:dyDescent="0.4">
      <c r="A14" s="13" t="s">
        <v>135</v>
      </c>
      <c r="B14" s="13"/>
      <c r="C14" s="13"/>
      <c r="D14" s="13"/>
      <c r="E14" s="13"/>
      <c r="F14" s="13"/>
      <c r="G14" s="13"/>
      <c r="H14" s="13"/>
      <c r="J14" s="14"/>
      <c r="K14" s="14"/>
      <c r="L14" s="14"/>
    </row>
    <row r="15" spans="1:12" x14ac:dyDescent="0.25">
      <c r="G15" s="5" t="s">
        <v>136</v>
      </c>
      <c r="H15" s="4">
        <f>Seguimiento[[#Totals],[Preguntas Ejecución y Monitoreo.1. La entidad presentó los reportes de avance dentro de los plazos establecidos.]]</f>
        <v>5.7288135593220337</v>
      </c>
    </row>
    <row r="16" spans="1:12" x14ac:dyDescent="0.25">
      <c r="G16" s="5" t="s">
        <v>141</v>
      </c>
      <c r="H16" s="4">
        <f>Seguimiento[[#Totals],[Preguntas Ejecución y Monitoreo.2.. La información contenida en los reportes fue clara y completa.]]</f>
        <v>5.8474576271186445</v>
      </c>
    </row>
    <row r="17" spans="7:8" x14ac:dyDescent="0.25">
      <c r="G17" s="5" t="s">
        <v>137</v>
      </c>
      <c r="H17" s="4">
        <f>Seguimiento[[#Totals],[Preguntas Ejecución y Monitoreo.3. El soporte técnico brindado por la entidad permitió resolver oportunamente las incidencias del proyecto.]]</f>
        <v>5.6779661016949152</v>
      </c>
    </row>
    <row r="18" spans="7:8" x14ac:dyDescent="0.25">
      <c r="G18" s="5" t="s">
        <v>138</v>
      </c>
      <c r="H18" s="4">
        <f>Seguimiento[[#Totals],[Preguntas Ejecución y Monitoreo.4. La entidad gestionó de manera proactiva los riesgos y desvíos identificados.]]</f>
        <v>5.3898305084745761</v>
      </c>
    </row>
    <row r="19" spans="7:8" x14ac:dyDescent="0.25">
      <c r="G19" s="5" t="s">
        <v>139</v>
      </c>
      <c r="H19" s="4">
        <f>Seguimiento[[#Totals],[Preguntas Ejecución y Monitoreo.5. La comunicación de la entidad con el equipo técnico de Corfo fue fluida y eficiente]]</f>
        <v>5.6610169491525424</v>
      </c>
    </row>
    <row r="20" spans="7:8" x14ac:dyDescent="0.25">
      <c r="G20" s="5" t="s">
        <v>140</v>
      </c>
      <c r="H20" s="4">
        <f>Seguimiento[[#Totals],[Preguntas Ejecución y Monitoreo.6. En general, la calidad de la supervisión y monitoreo de la ejecución por parte de la entidad fue satisfactoria.]]</f>
        <v>5.6610169491525424</v>
      </c>
    </row>
    <row r="23" spans="7:8" x14ac:dyDescent="0.25">
      <c r="G23" s="7" t="s">
        <v>142</v>
      </c>
      <c r="H23" s="6">
        <f>AVERAGE(H15:H20)</f>
        <v>5.6610169491525424</v>
      </c>
    </row>
  </sheetData>
  <mergeCells count="4">
    <mergeCell ref="A1:H1"/>
    <mergeCell ref="A14:H14"/>
    <mergeCell ref="J6:L14"/>
    <mergeCell ref="J5:L5"/>
  </mergeCells>
  <conditionalFormatting sqref="H12:L1048576 I11:L11 H1:L10">
    <cfRule type="colorScale" priority="1">
      <colorScale>
        <cfvo type="num" val="1"/>
        <cfvo type="num" val="4"/>
        <cfvo type="num" val="7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8511A586B5004DB5E06AAC69B624A1" ma:contentTypeVersion="18" ma:contentTypeDescription="Crear nuevo documento." ma:contentTypeScope="" ma:versionID="efffeb059e11b9d2466349fe23400191">
  <xsd:schema xmlns:xsd="http://www.w3.org/2001/XMLSchema" xmlns:xs="http://www.w3.org/2001/XMLSchema" xmlns:p="http://schemas.microsoft.com/office/2006/metadata/properties" xmlns:ns2="4249bef7-b12f-4ef6-afb2-730d1da7f839" xmlns:ns3="46e3efc2-af51-4c8c-88a2-daf07b3cd4c8" targetNamespace="http://schemas.microsoft.com/office/2006/metadata/properties" ma:root="true" ma:fieldsID="846baf082dcf43bfe71a15c746502136" ns2:_="" ns3:_="">
    <xsd:import namespace="4249bef7-b12f-4ef6-afb2-730d1da7f839"/>
    <xsd:import namespace="46e3efc2-af51-4c8c-88a2-daf07b3cd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9bef7-b12f-4ef6-afb2-730d1da7f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6930227d-965d-4741-b43f-4ac5cbdeb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3efc2-af51-4c8c-88a2-daf07b3cd4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1f5be9e-0ef8-4662-a14e-067e5ec8c2d1}" ma:internalName="TaxCatchAll" ma:showField="CatchAllData" ma:web="46e3efc2-af51-4c8c-88a2-daf07b3cd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49bef7-b12f-4ef6-afb2-730d1da7f839">
      <Terms xmlns="http://schemas.microsoft.com/office/infopath/2007/PartnerControls"/>
    </lcf76f155ced4ddcb4097134ff3c332f>
    <TaxCatchAll xmlns="46e3efc2-af51-4c8c-88a2-daf07b3cd4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E45AD1A-4C2E-4305-89EE-EBEC8DE74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9bef7-b12f-4ef6-afb2-730d1da7f839"/>
    <ds:schemaRef ds:uri="46e3efc2-af51-4c8c-88a2-daf07b3cd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755408-73EC-4AA4-AF62-4710E80C7CBD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46e3efc2-af51-4c8c-88a2-daf07b3cd4c8"/>
    <ds:schemaRef ds:uri="4249bef7-b12f-4ef6-afb2-730d1da7f83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F3BF03-D6C3-4841-A891-E3F5762A69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54CE38-8F31-4E75-9E2D-28FFA9E96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Formalizacion</vt:lpstr>
      <vt:lpstr>Seguimiento</vt:lpstr>
      <vt:lpstr>Conteo respuestas</vt:lpstr>
      <vt:lpstr>CorreoRegion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Rodriguez Peña</dc:creator>
  <cp:lastModifiedBy>Luis Rodriguez Peña</cp:lastModifiedBy>
  <dcterms:created xsi:type="dcterms:W3CDTF">2026-06-12T12:23:07Z</dcterms:created>
  <dcterms:modified xsi:type="dcterms:W3CDTF">2026-06-22T18:21:14Z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0x010100FF8511A586B5004DB5E06AAC69B624A1</vt:lpwstr>
  </property>
  <property fmtid="{D5CDD505-2E9C-101B-9397-08002B2CF9AE}" pid="3" name="MediaServiceImageTags">
    <vt:lpwstr/>
  </property>
</Properties>
</file>